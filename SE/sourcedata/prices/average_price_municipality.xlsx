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SE\sourcedata\prices\"/>
    </mc:Choice>
  </mc:AlternateContent>
  <xr:revisionPtr revIDLastSave="0" documentId="13_ncr:1_{6DFA9825-FDD8-4816-B421-0EDAFCABD263}" xr6:coauthVersionLast="47" xr6:coauthVersionMax="47" xr10:uidLastSave="{00000000-0000-0000-0000-000000000000}"/>
  <bookViews>
    <workbookView xWindow="-108" yWindow="-108" windowWidth="23256" windowHeight="12456" xr2:uid="{078EE8EB-5B21-4BB0-8C4F-835CD4BA7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J2" i="1"/>
  <c r="I314" i="1"/>
  <c r="K310" i="1"/>
  <c r="K309" i="1"/>
  <c r="K298" i="1"/>
  <c r="K297" i="1"/>
  <c r="K267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J293" i="1"/>
  <c r="J294" i="1"/>
  <c r="J295" i="1"/>
  <c r="K295" i="1"/>
  <c r="J296" i="1"/>
  <c r="K296" i="1"/>
  <c r="J297" i="1"/>
  <c r="J298" i="1"/>
  <c r="J299" i="1"/>
  <c r="K299" i="1"/>
  <c r="J300" i="1"/>
  <c r="K300" i="1"/>
  <c r="J301" i="1"/>
  <c r="K301" i="1"/>
  <c r="J302" i="1"/>
  <c r="K302" i="1"/>
  <c r="J303" i="1"/>
  <c r="K303" i="1"/>
  <c r="J304" i="1"/>
  <c r="J305" i="1"/>
  <c r="J306" i="1"/>
  <c r="J307" i="1"/>
  <c r="K307" i="1"/>
  <c r="J308" i="1"/>
  <c r="K308" i="1"/>
  <c r="J309" i="1"/>
  <c r="J310" i="1"/>
  <c r="J311" i="1"/>
  <c r="K311" i="1"/>
  <c r="J312" i="1"/>
  <c r="K312" i="1"/>
  <c r="J313" i="1"/>
  <c r="K31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2" i="1"/>
  <c r="K2" i="1"/>
  <c r="K306" i="1" l="1"/>
  <c r="K294" i="1"/>
  <c r="K305" i="1"/>
  <c r="K293" i="1"/>
  <c r="K304" i="1"/>
  <c r="K292" i="1"/>
</calcChain>
</file>

<file path=xl/sharedStrings.xml><?xml version="1.0" encoding="utf-8"?>
<sst xmlns="http://schemas.openxmlformats.org/spreadsheetml/2006/main" count="1509" uniqueCount="818">
  <si>
    <t>Code</t>
  </si>
  <si>
    <t>Municipality Name</t>
  </si>
  <si>
    <t>Number of purchases</t>
  </si>
  <si>
    <t>Average price in SEK thousands</t>
  </si>
  <si>
    <t>Changes of prices in % between 2023 and 2024 (1 year)</t>
  </si>
  <si>
    <t>Changes of prices in % between 2019 and 2024 (5 years)</t>
  </si>
  <si>
    <t>Changes of prices in % between 2014 and 2024 (10 years)</t>
  </si>
  <si>
    <t>Changes of prices in % between 2004 and 2024 (20 years)</t>
  </si>
  <si>
    <t>Whole country</t>
  </si>
  <si>
    <t>52 797</t>
  </si>
  <si>
    <t>Stockholms län</t>
  </si>
  <si>
    <t>Upplands Väsby</t>
  </si>
  <si>
    <t>Vallentuna</t>
  </si>
  <si>
    <t>Österåker</t>
  </si>
  <si>
    <t>Värmdö</t>
  </si>
  <si>
    <t>Järfälla</t>
  </si>
  <si>
    <t>Ekerö</t>
  </si>
  <si>
    <t>Huddinge</t>
  </si>
  <si>
    <t>Botkyrka</t>
  </si>
  <si>
    <t>Salem</t>
  </si>
  <si>
    <t>Haninge</t>
  </si>
  <si>
    <t>Tyresö</t>
  </si>
  <si>
    <t>Upplands-Bro</t>
  </si>
  <si>
    <t>Nykvarn</t>
  </si>
  <si>
    <t>Täby</t>
  </si>
  <si>
    <t>Danderyd</t>
  </si>
  <si>
    <t>Sollentuna</t>
  </si>
  <si>
    <t>Stockholm</t>
  </si>
  <si>
    <t>1 278</t>
  </si>
  <si>
    <t>Södertälje</t>
  </si>
  <si>
    <t>Nacka</t>
  </si>
  <si>
    <t>Sundbyberg</t>
  </si>
  <si>
    <t>Solna</t>
  </si>
  <si>
    <t>Lidingö</t>
  </si>
  <si>
    <t>Vaxholm</t>
  </si>
  <si>
    <t>Norrtälje</t>
  </si>
  <si>
    <t>Sigtuna</t>
  </si>
  <si>
    <t>Nynäshamn</t>
  </si>
  <si>
    <t>Uppsala län</t>
  </si>
  <si>
    <t>Håbo</t>
  </si>
  <si>
    <t>Älvkarleby</t>
  </si>
  <si>
    <t>Knivsta</t>
  </si>
  <si>
    <t>Heby</t>
  </si>
  <si>
    <t>Tierp</t>
  </si>
  <si>
    <t>Uppsala</t>
  </si>
  <si>
    <t>Enköping</t>
  </si>
  <si>
    <t>Östhammar</t>
  </si>
  <si>
    <t>Södermanlands län</t>
  </si>
  <si>
    <t>Vingåker</t>
  </si>
  <si>
    <t>Gnesta</t>
  </si>
  <si>
    <t>Nyköping</t>
  </si>
  <si>
    <t>Oxelösund</t>
  </si>
  <si>
    <t>Flen</t>
  </si>
  <si>
    <t>Katrineholm</t>
  </si>
  <si>
    <t>Eskilstuna</t>
  </si>
  <si>
    <t>Strängnäs</t>
  </si>
  <si>
    <t>Trosa</t>
  </si>
  <si>
    <t>Östergötlands län</t>
  </si>
  <si>
    <t>Ödeshög</t>
  </si>
  <si>
    <t>Ydre</t>
  </si>
  <si>
    <t>Kinda</t>
  </si>
  <si>
    <t>Boxholm</t>
  </si>
  <si>
    <t>Åtvidaberg</t>
  </si>
  <si>
    <t>Finspång</t>
  </si>
  <si>
    <t>Valdemarsvik</t>
  </si>
  <si>
    <t>Linköping</t>
  </si>
  <si>
    <t>Norrköping</t>
  </si>
  <si>
    <t>Söderköping</t>
  </si>
  <si>
    <t>Motala</t>
  </si>
  <si>
    <t>Vadstena</t>
  </si>
  <si>
    <t>Mjölby</t>
  </si>
  <si>
    <t>Jönköpings län</t>
  </si>
  <si>
    <t>Aneby</t>
  </si>
  <si>
    <t>Gnosjö</t>
  </si>
  <si>
    <t>Mullsjö</t>
  </si>
  <si>
    <t>Habo</t>
  </si>
  <si>
    <t>Gislaved</t>
  </si>
  <si>
    <t>Vaggeryd</t>
  </si>
  <si>
    <t>Jönköping</t>
  </si>
  <si>
    <t>Nässjö</t>
  </si>
  <si>
    <t>Värnamo</t>
  </si>
  <si>
    <t>Sävsjö</t>
  </si>
  <si>
    <t>Vetlanda</t>
  </si>
  <si>
    <t>Eksjö</t>
  </si>
  <si>
    <t>Tranås</t>
  </si>
  <si>
    <t>Kronobergs län</t>
  </si>
  <si>
    <t>Uppvidinge</t>
  </si>
  <si>
    <t>Lessebo</t>
  </si>
  <si>
    <t>Tingsryd</t>
  </si>
  <si>
    <t>Alvesta</t>
  </si>
  <si>
    <t>Älmhult</t>
  </si>
  <si>
    <t>Markaryd</t>
  </si>
  <si>
    <t>Växjö</t>
  </si>
  <si>
    <t>Ljungby</t>
  </si>
  <si>
    <t>Kalmar län</t>
  </si>
  <si>
    <t>Högsby</t>
  </si>
  <si>
    <t>Torsås</t>
  </si>
  <si>
    <t>Mörbylånga</t>
  </si>
  <si>
    <t>Hultsfred</t>
  </si>
  <si>
    <t>Mönsterås</t>
  </si>
  <si>
    <t>Emmaboda</t>
  </si>
  <si>
    <t>Kalmar</t>
  </si>
  <si>
    <t>Nybro</t>
  </si>
  <si>
    <t>Oskarshamn</t>
  </si>
  <si>
    <t>Västervik</t>
  </si>
  <si>
    <t>Vimmerby</t>
  </si>
  <si>
    <t>Borgholm</t>
  </si>
  <si>
    <t>Gotlands län</t>
  </si>
  <si>
    <t>Gotland</t>
  </si>
  <si>
    <t>Blekinge län</t>
  </si>
  <si>
    <t>Olofström</t>
  </si>
  <si>
    <t>Karlskrona</t>
  </si>
  <si>
    <t>Ronneby</t>
  </si>
  <si>
    <t>Karlshamn</t>
  </si>
  <si>
    <t>Sölvesborg</t>
  </si>
  <si>
    <t>Skåne län</t>
  </si>
  <si>
    <t>Svalöv</t>
  </si>
  <si>
    <t>Staffanstorp</t>
  </si>
  <si>
    <t>Burlöv</t>
  </si>
  <si>
    <t>Vellinge</t>
  </si>
  <si>
    <t>Östra Göinge</t>
  </si>
  <si>
    <t>Örkelljunga</t>
  </si>
  <si>
    <t>Bjuv</t>
  </si>
  <si>
    <t>Kävlinge</t>
  </si>
  <si>
    <t>Lomma</t>
  </si>
  <si>
    <t>Svedala</t>
  </si>
  <si>
    <t>Skurup</t>
  </si>
  <si>
    <t>Sjöbo</t>
  </si>
  <si>
    <t>Hörby</t>
  </si>
  <si>
    <t>Höör</t>
  </si>
  <si>
    <t>Tomelilla</t>
  </si>
  <si>
    <t>Bromölla</t>
  </si>
  <si>
    <t>Osby</t>
  </si>
  <si>
    <t>Perstorp</t>
  </si>
  <si>
    <t>Klippan</t>
  </si>
  <si>
    <t>Åstorp</t>
  </si>
  <si>
    <t>Båstad</t>
  </si>
  <si>
    <t>Malmö</t>
  </si>
  <si>
    <t>Lund</t>
  </si>
  <si>
    <t>Landskrona</t>
  </si>
  <si>
    <t>Helsingborg</t>
  </si>
  <si>
    <t>Höganäs</t>
  </si>
  <si>
    <t>Eslöv</t>
  </si>
  <si>
    <t>Ystad</t>
  </si>
  <si>
    <t>Trelleborg</t>
  </si>
  <si>
    <t>Kristianstad</t>
  </si>
  <si>
    <t>Simrishamn</t>
  </si>
  <si>
    <t>Ängelholm</t>
  </si>
  <si>
    <t>Hässleholm</t>
  </si>
  <si>
    <t>Hallands län</t>
  </si>
  <si>
    <t>Hylte</t>
  </si>
  <si>
    <t>Halmstad</t>
  </si>
  <si>
    <t>Laholm</t>
  </si>
  <si>
    <t>Falkenberg</t>
  </si>
  <si>
    <t>Varberg</t>
  </si>
  <si>
    <t>Kungsbacka</t>
  </si>
  <si>
    <t>Västra Götalands län</t>
  </si>
  <si>
    <t>Härryda</t>
  </si>
  <si>
    <t>Partille</t>
  </si>
  <si>
    <t>Öckerö</t>
  </si>
  <si>
    <t>Stenungsund</t>
  </si>
  <si>
    <t>Tjörn</t>
  </si>
  <si>
    <t>Orust</t>
  </si>
  <si>
    <t>Sotenäs</t>
  </si>
  <si>
    <t>Munkedal</t>
  </si>
  <si>
    <t>Tanum</t>
  </si>
  <si>
    <t>Dals-Ed</t>
  </si>
  <si>
    <t>Färgelanda</t>
  </si>
  <si>
    <t>Ale</t>
  </si>
  <si>
    <t>Lerum</t>
  </si>
  <si>
    <t>Vårgårda</t>
  </si>
  <si>
    <t>Bollebygd</t>
  </si>
  <si>
    <t>Grästorp</t>
  </si>
  <si>
    <t>Essunga</t>
  </si>
  <si>
    <t>Karlsborg</t>
  </si>
  <si>
    <t>Gullspång</t>
  </si>
  <si>
    <t>Tranemo</t>
  </si>
  <si>
    <t>Bengtsfors</t>
  </si>
  <si>
    <t>Mellerud</t>
  </si>
  <si>
    <t>Lilla Edet</t>
  </si>
  <si>
    <t>Mark</t>
  </si>
  <si>
    <t>Svenljunga</t>
  </si>
  <si>
    <t>Herrljunga</t>
  </si>
  <si>
    <t>Vara</t>
  </si>
  <si>
    <t>Götene</t>
  </si>
  <si>
    <t>Tibro</t>
  </si>
  <si>
    <t>Töreboda</t>
  </si>
  <si>
    <t>Göteborg</t>
  </si>
  <si>
    <t>1 203</t>
  </si>
  <si>
    <t>Mölndal</t>
  </si>
  <si>
    <t>Kungälv</t>
  </si>
  <si>
    <t>Lysekil</t>
  </si>
  <si>
    <t>Uddevalla</t>
  </si>
  <si>
    <t>Strömstad</t>
  </si>
  <si>
    <t>Vänersborg</t>
  </si>
  <si>
    <t>Trollhättan</t>
  </si>
  <si>
    <t>Alingsås</t>
  </si>
  <si>
    <t>Borås</t>
  </si>
  <si>
    <t>Ulricehamn</t>
  </si>
  <si>
    <t>Åmål</t>
  </si>
  <si>
    <t>Mariestad</t>
  </si>
  <si>
    <t>Lidköping</t>
  </si>
  <si>
    <t>Skara</t>
  </si>
  <si>
    <t>Skövde</t>
  </si>
  <si>
    <t>Hjo</t>
  </si>
  <si>
    <t>Tidaholm</t>
  </si>
  <si>
    <t>Falköping</t>
  </si>
  <si>
    <t>Värmlands län</t>
  </si>
  <si>
    <t>Kil</t>
  </si>
  <si>
    <t>Eda</t>
  </si>
  <si>
    <t>Torsby</t>
  </si>
  <si>
    <t>Storfors</t>
  </si>
  <si>
    <t>Hammarö</t>
  </si>
  <si>
    <t>Munkfors</t>
  </si>
  <si>
    <t>Forshaga</t>
  </si>
  <si>
    <t>Grums</t>
  </si>
  <si>
    <t>Årjäng</t>
  </si>
  <si>
    <t>Sunne</t>
  </si>
  <si>
    <t>Karlstad</t>
  </si>
  <si>
    <t>Kristinehamn</t>
  </si>
  <si>
    <t>Filipstad</t>
  </si>
  <si>
    <t>Hagfors</t>
  </si>
  <si>
    <t>Arvika</t>
  </si>
  <si>
    <t>Säffle</t>
  </si>
  <si>
    <t>Örebro län</t>
  </si>
  <si>
    <t>Lekeberg</t>
  </si>
  <si>
    <t>Laxå</t>
  </si>
  <si>
    <t>Hallsberg</t>
  </si>
  <si>
    <t>Degerfors</t>
  </si>
  <si>
    <t>Hällefors</t>
  </si>
  <si>
    <t>Ljusnarsberg</t>
  </si>
  <si>
    <t>Örebro</t>
  </si>
  <si>
    <t>Kumla</t>
  </si>
  <si>
    <t>Askersund</t>
  </si>
  <si>
    <t>Karlskoga</t>
  </si>
  <si>
    <t>Nora</t>
  </si>
  <si>
    <t>Lindesberg</t>
  </si>
  <si>
    <t>Västmanlands län</t>
  </si>
  <si>
    <t>Skinnskatteberg</t>
  </si>
  <si>
    <t>Surahammar</t>
  </si>
  <si>
    <t>Kungsör</t>
  </si>
  <si>
    <t>Hallstahammar</t>
  </si>
  <si>
    <t>Norberg</t>
  </si>
  <si>
    <t>Västerås</t>
  </si>
  <si>
    <t>Sala</t>
  </si>
  <si>
    <t>Fagersta</t>
  </si>
  <si>
    <t>Köping</t>
  </si>
  <si>
    <t>Arboga</t>
  </si>
  <si>
    <t>Dalarnas län</t>
  </si>
  <si>
    <t>Vansbro</t>
  </si>
  <si>
    <t>Malung - Sälen</t>
  </si>
  <si>
    <t>Gagnef</t>
  </si>
  <si>
    <t>Leksand</t>
  </si>
  <si>
    <t>Rättvik</t>
  </si>
  <si>
    <t>Orsa</t>
  </si>
  <si>
    <t>Älvdalen</t>
  </si>
  <si>
    <t>Smedjebacken</t>
  </si>
  <si>
    <t>Mora</t>
  </si>
  <si>
    <t>Falun</t>
  </si>
  <si>
    <t>Borlänge</t>
  </si>
  <si>
    <t>Säter</t>
  </si>
  <si>
    <t>Hedemora</t>
  </si>
  <si>
    <t>Avesta</t>
  </si>
  <si>
    <t>Ludvika</t>
  </si>
  <si>
    <t>Gävleborgs län</t>
  </si>
  <si>
    <t>Ockelbo</t>
  </si>
  <si>
    <t>Hofors</t>
  </si>
  <si>
    <t>Ovanåker</t>
  </si>
  <si>
    <t>Nordanstig</t>
  </si>
  <si>
    <t>Ljusdal</t>
  </si>
  <si>
    <t>Gävle</t>
  </si>
  <si>
    <t>Sandviken</t>
  </si>
  <si>
    <t>Söderhamn</t>
  </si>
  <si>
    <t>Bollnäs</t>
  </si>
  <si>
    <t>Hudiksvall</t>
  </si>
  <si>
    <t>Västernorrlands län</t>
  </si>
  <si>
    <t>Ånge</t>
  </si>
  <si>
    <t>Timrå</t>
  </si>
  <si>
    <t>Härnösand</t>
  </si>
  <si>
    <t>Sundsvall</t>
  </si>
  <si>
    <t>Kramfors</t>
  </si>
  <si>
    <t>Sollefteå</t>
  </si>
  <si>
    <t>Örnsköldsvik</t>
  </si>
  <si>
    <t>Jämtlands län</t>
  </si>
  <si>
    <t>Ragunda</t>
  </si>
  <si>
    <t>Bräcke</t>
  </si>
  <si>
    <t>Krokom</t>
  </si>
  <si>
    <t>Strömsund</t>
  </si>
  <si>
    <t>Åre</t>
  </si>
  <si>
    <t>Berg</t>
  </si>
  <si>
    <t>Härjedalen</t>
  </si>
  <si>
    <t>Östersund</t>
  </si>
  <si>
    <t>Västerbottens län</t>
  </si>
  <si>
    <t>Nordmaling</t>
  </si>
  <si>
    <t>Bjurholm</t>
  </si>
  <si>
    <t>Vindeln</t>
  </si>
  <si>
    <t>Robertsfors</t>
  </si>
  <si>
    <t>Norsjö</t>
  </si>
  <si>
    <t>Malå</t>
  </si>
  <si>
    <t>Storuman</t>
  </si>
  <si>
    <t>Sorsele</t>
  </si>
  <si>
    <t>Dorotea</t>
  </si>
  <si>
    <t>Vännäs</t>
  </si>
  <si>
    <t>Vilhelmina</t>
  </si>
  <si>
    <t>Åsele</t>
  </si>
  <si>
    <t>Umeå</t>
  </si>
  <si>
    <t>Lycksele</t>
  </si>
  <si>
    <t>Skellefteå</t>
  </si>
  <si>
    <t>Norrbottens län</t>
  </si>
  <si>
    <t>Arvidsjaur</t>
  </si>
  <si>
    <t>Arjeplog</t>
  </si>
  <si>
    <t>Jokkmokk</t>
  </si>
  <si>
    <t>Överkalix</t>
  </si>
  <si>
    <t>Kalix</t>
  </si>
  <si>
    <t>Övertorneå</t>
  </si>
  <si>
    <t>Pajala</t>
  </si>
  <si>
    <t>Gällivare</t>
  </si>
  <si>
    <t>Älvsbyn</t>
  </si>
  <si>
    <t>Luleå</t>
  </si>
  <si>
    <t>Piteå</t>
  </si>
  <si>
    <t>Boden</t>
  </si>
  <si>
    <t>Haparanda</t>
  </si>
  <si>
    <t>Kiruna</t>
  </si>
  <si>
    <t>3758</t>
  </si>
  <si>
    <t/>
  </si>
  <si>
    <t>5257</t>
  </si>
  <si>
    <t>5286</t>
  </si>
  <si>
    <t>5667</t>
  </si>
  <si>
    <t>6221</t>
  </si>
  <si>
    <t>5473</t>
  </si>
  <si>
    <t>6352</t>
  </si>
  <si>
    <t>6274</t>
  </si>
  <si>
    <t>4874</t>
  </si>
  <si>
    <t>5424</t>
  </si>
  <si>
    <t>4918</t>
  </si>
  <si>
    <t>6319</t>
  </si>
  <si>
    <t>4647</t>
  </si>
  <si>
    <t>4442</t>
  </si>
  <si>
    <t>13095</t>
  </si>
  <si>
    <t>8005</t>
  </si>
  <si>
    <t>8597</t>
  </si>
  <si>
    <t>4176</t>
  </si>
  <si>
    <t>9398</t>
  </si>
  <si>
    <t>9690</t>
  </si>
  <si>
    <t>11030</t>
  </si>
  <si>
    <t>12935</t>
  </si>
  <si>
    <t>8589</t>
  </si>
  <si>
    <t>3503</t>
  </si>
  <si>
    <t>5361</t>
  </si>
  <si>
    <t>3990</t>
  </si>
  <si>
    <t>3993</t>
  </si>
  <si>
    <t>1902</t>
  </si>
  <si>
    <t>4957</t>
  </si>
  <si>
    <t>1796</t>
  </si>
  <si>
    <t>1933</t>
  </si>
  <si>
    <t>4759</t>
  </si>
  <si>
    <t>3461</t>
  </si>
  <si>
    <t>2840</t>
  </si>
  <si>
    <t>1593</t>
  </si>
  <si>
    <t>3344</t>
  </si>
  <si>
    <t>3335</t>
  </si>
  <si>
    <t>2513</t>
  </si>
  <si>
    <t>1962</t>
  </si>
  <si>
    <t>2531</t>
  </si>
  <si>
    <t>3291</t>
  </si>
  <si>
    <t>4418</t>
  </si>
  <si>
    <t>1412</t>
  </si>
  <si>
    <t>2075</t>
  </si>
  <si>
    <t>2545</t>
  </si>
  <si>
    <t>2099</t>
  </si>
  <si>
    <t>2200</t>
  </si>
  <si>
    <t>1983</t>
  </si>
  <si>
    <t>1783</t>
  </si>
  <si>
    <t>4421</t>
  </si>
  <si>
    <t>3751</t>
  </si>
  <si>
    <t>3016</t>
  </si>
  <si>
    <t>3202</t>
  </si>
  <si>
    <t>2811</t>
  </si>
  <si>
    <t>1947</t>
  </si>
  <si>
    <t>1499</t>
  </si>
  <si>
    <t>2098</t>
  </si>
  <si>
    <t>1426</t>
  </si>
  <si>
    <t>2289</t>
  </si>
  <si>
    <t>3839</t>
  </si>
  <si>
    <t>1841</t>
  </si>
  <si>
    <t>2799</t>
  </si>
  <si>
    <t>1455</t>
  </si>
  <si>
    <t>1710</t>
  </si>
  <si>
    <t>1936</t>
  </si>
  <si>
    <t>2439</t>
  </si>
  <si>
    <t>1133</t>
  </si>
  <si>
    <t>1263</t>
  </si>
  <si>
    <t>1129</t>
  </si>
  <si>
    <t>1737</t>
  </si>
  <si>
    <t>2181</t>
  </si>
  <si>
    <t>1481</t>
  </si>
  <si>
    <t>3295</t>
  </si>
  <si>
    <t>1986</t>
  </si>
  <si>
    <t>811</t>
  </si>
  <si>
    <t>1343</t>
  </si>
  <si>
    <t>2863</t>
  </si>
  <si>
    <t>892</t>
  </si>
  <si>
    <t>1536</t>
  </si>
  <si>
    <t>1012</t>
  </si>
  <si>
    <t>3701</t>
  </si>
  <si>
    <t>1518</t>
  </si>
  <si>
    <t>2344</t>
  </si>
  <si>
    <t>2154</t>
  </si>
  <si>
    <t>1758</t>
  </si>
  <si>
    <t>2637</t>
  </si>
  <si>
    <t>3953</t>
  </si>
  <si>
    <t>2747</t>
  </si>
  <si>
    <t>1693</t>
  </si>
  <si>
    <t>2239</t>
  </si>
  <si>
    <t>2185</t>
  </si>
  <si>
    <t>4506</t>
  </si>
  <si>
    <t>4220</t>
  </si>
  <si>
    <t>7041</t>
  </si>
  <si>
    <t>1206</t>
  </si>
  <si>
    <t>1600</t>
  </si>
  <si>
    <t>1903</t>
  </si>
  <si>
    <t>4564</t>
  </si>
  <si>
    <t>7159</t>
  </si>
  <si>
    <t>4057</t>
  </si>
  <si>
    <t>3206</t>
  </si>
  <si>
    <t>2153</t>
  </si>
  <si>
    <t>2273</t>
  </si>
  <si>
    <t>2413</t>
  </si>
  <si>
    <t>2350</t>
  </si>
  <si>
    <t>1581</t>
  </si>
  <si>
    <t>1268</t>
  </si>
  <si>
    <t>1546</t>
  </si>
  <si>
    <t>1878</t>
  </si>
  <si>
    <t>2431</t>
  </si>
  <si>
    <t>4746</t>
  </si>
  <si>
    <t>6059</t>
  </si>
  <si>
    <t>5352</t>
  </si>
  <si>
    <t>4143</t>
  </si>
  <si>
    <t>4899</t>
  </si>
  <si>
    <t>4911</t>
  </si>
  <si>
    <t>3119</t>
  </si>
  <si>
    <t>3770</t>
  </si>
  <si>
    <t>2695</t>
  </si>
  <si>
    <t>3510</t>
  </si>
  <si>
    <t>4111</t>
  </si>
  <si>
    <t>1872</t>
  </si>
  <si>
    <t>1204</t>
  </si>
  <si>
    <t>3955</t>
  </si>
  <si>
    <t>2533</t>
  </si>
  <si>
    <t>3412</t>
  </si>
  <si>
    <t>4303</t>
  </si>
  <si>
    <t>5754</t>
  </si>
  <si>
    <t>5127</t>
  </si>
  <si>
    <t>6141</t>
  </si>
  <si>
    <t>5808</t>
  </si>
  <si>
    <t>4525</t>
  </si>
  <si>
    <t>4054</t>
  </si>
  <si>
    <t>3251</t>
  </si>
  <si>
    <t>4851</t>
  </si>
  <si>
    <t>1749</t>
  </si>
  <si>
    <t>3240</t>
  </si>
  <si>
    <t>1294</t>
  </si>
  <si>
    <t>1214</t>
  </si>
  <si>
    <t>3878</t>
  </si>
  <si>
    <t>4466</t>
  </si>
  <si>
    <t>2680</t>
  </si>
  <si>
    <t>3414</t>
  </si>
  <si>
    <t>1750</t>
  </si>
  <si>
    <t>1596</t>
  </si>
  <si>
    <t>989</t>
  </si>
  <si>
    <t>1388</t>
  </si>
  <si>
    <t>1005</t>
  </si>
  <si>
    <t>1556</t>
  </si>
  <si>
    <t>2315</t>
  </si>
  <si>
    <t>2338</t>
  </si>
  <si>
    <t>1774</t>
  </si>
  <si>
    <t>1921</t>
  </si>
  <si>
    <t>1307</t>
  </si>
  <si>
    <t>1636</t>
  </si>
  <si>
    <t>1897</t>
  </si>
  <si>
    <t>1329</t>
  </si>
  <si>
    <t>6741</t>
  </si>
  <si>
    <t>5913</t>
  </si>
  <si>
    <t>4949</t>
  </si>
  <si>
    <t>3520</t>
  </si>
  <si>
    <t>3339</t>
  </si>
  <si>
    <t>3276</t>
  </si>
  <si>
    <t>2424</t>
  </si>
  <si>
    <t>3212</t>
  </si>
  <si>
    <t>4030</t>
  </si>
  <si>
    <t>3283</t>
  </si>
  <si>
    <t>2352</t>
  </si>
  <si>
    <t>1411</t>
  </si>
  <si>
    <t>2436</t>
  </si>
  <si>
    <t>2746</t>
  </si>
  <si>
    <t>2287</t>
  </si>
  <si>
    <t>3156</t>
  </si>
  <si>
    <t>2505</t>
  </si>
  <si>
    <t>1769</t>
  </si>
  <si>
    <t>2259</t>
  </si>
  <si>
    <t>1145</t>
  </si>
  <si>
    <t>1311</t>
  </si>
  <si>
    <t>932</t>
  </si>
  <si>
    <t>4183</t>
  </si>
  <si>
    <t>660</t>
  </si>
  <si>
    <t>1609</t>
  </si>
  <si>
    <t>1617</t>
  </si>
  <si>
    <t>1745</t>
  </si>
  <si>
    <t>1673</t>
  </si>
  <si>
    <t>3548</t>
  </si>
  <si>
    <t>1905</t>
  </si>
  <si>
    <t>881</t>
  </si>
  <si>
    <t>913</t>
  </si>
  <si>
    <t>1888</t>
  </si>
  <si>
    <t>2484</t>
  </si>
  <si>
    <t>1010</t>
  </si>
  <si>
    <t>1789</t>
  </si>
  <si>
    <t>1134</t>
  </si>
  <si>
    <t>650</t>
  </si>
  <si>
    <t>936</t>
  </si>
  <si>
    <t>3927</t>
  </si>
  <si>
    <t>2870</t>
  </si>
  <si>
    <t>1883</t>
  </si>
  <si>
    <t>1862</t>
  </si>
  <si>
    <t>1601</t>
  </si>
  <si>
    <t>1893</t>
  </si>
  <si>
    <t>2169</t>
  </si>
  <si>
    <t>2538</t>
  </si>
  <si>
    <t>1240</t>
  </si>
  <si>
    <t>4236</t>
  </si>
  <si>
    <t>2224</t>
  </si>
  <si>
    <t>1365</t>
  </si>
  <si>
    <t>2339</t>
  </si>
  <si>
    <t>2140</t>
  </si>
  <si>
    <t>1002</t>
  </si>
  <si>
    <t>2297</t>
  </si>
  <si>
    <t>1714</t>
  </si>
  <si>
    <t>2844</t>
  </si>
  <si>
    <t>2322</t>
  </si>
  <si>
    <t>1864</t>
  </si>
  <si>
    <t>1801</t>
  </si>
  <si>
    <t>2375</t>
  </si>
  <si>
    <t>3534</t>
  </si>
  <si>
    <t>2630</t>
  </si>
  <si>
    <t>2147</t>
  </si>
  <si>
    <t>1614</t>
  </si>
  <si>
    <t>1880</t>
  </si>
  <si>
    <t>1597</t>
  </si>
  <si>
    <t>1232</t>
  </si>
  <si>
    <t>1198</t>
  </si>
  <si>
    <t>1236</t>
  </si>
  <si>
    <t>986</t>
  </si>
  <si>
    <t>1756</t>
  </si>
  <si>
    <t>3343</t>
  </si>
  <si>
    <t>1935</t>
  </si>
  <si>
    <t>1474</t>
  </si>
  <si>
    <t>2176</t>
  </si>
  <si>
    <t>826</t>
  </si>
  <si>
    <t>1747</t>
  </si>
  <si>
    <t>1438</t>
  </si>
  <si>
    <t>2649</t>
  </si>
  <si>
    <t>719</t>
  </si>
  <si>
    <t>845</t>
  </si>
  <si>
    <t>1669</t>
  </si>
  <si>
    <t>544</t>
  </si>
  <si>
    <t>727</t>
  </si>
  <si>
    <t>2528</t>
  </si>
  <si>
    <t>752</t>
  </si>
  <si>
    <t>3842</t>
  </si>
  <si>
    <t>1059</t>
  </si>
  <si>
    <t>1773</t>
  </si>
  <si>
    <t>3648</t>
  </si>
  <si>
    <t>1293</t>
  </si>
  <si>
    <t>955</t>
  </si>
  <si>
    <t>1151</t>
  </si>
  <si>
    <t>741</t>
  </si>
  <si>
    <t>649</t>
  </si>
  <si>
    <t>963</t>
  </si>
  <si>
    <t>567</t>
  </si>
  <si>
    <t>559</t>
  </si>
  <si>
    <t>2391</t>
  </si>
  <si>
    <t>656</t>
  </si>
  <si>
    <t>518</t>
  </si>
  <si>
    <t>4102</t>
  </si>
  <si>
    <t>2460</t>
  </si>
  <si>
    <t>1109</t>
  </si>
  <si>
    <t>1314</t>
  </si>
  <si>
    <t>1013</t>
  </si>
  <si>
    <t>613</t>
  </si>
  <si>
    <t>1062</t>
  </si>
  <si>
    <t>571</t>
  </si>
  <si>
    <t>2323</t>
  </si>
  <si>
    <t>947</t>
  </si>
  <si>
    <t>3328</t>
  </si>
  <si>
    <t>2103</t>
  </si>
  <si>
    <t>1771</t>
  </si>
  <si>
    <t>1130</t>
  </si>
  <si>
    <t>2299</t>
  </si>
  <si>
    <t>Average price 2023</t>
  </si>
  <si>
    <t>79</t>
  </si>
  <si>
    <t>81</t>
  </si>
  <si>
    <t>95</t>
  </si>
  <si>
    <t>73</t>
  </si>
  <si>
    <t>93</t>
  </si>
  <si>
    <t>68</t>
  </si>
  <si>
    <t>45</t>
  </si>
  <si>
    <t>52</t>
  </si>
  <si>
    <t>58</t>
  </si>
  <si>
    <t>43</t>
  </si>
  <si>
    <t>56</t>
  </si>
  <si>
    <t>49</t>
  </si>
  <si>
    <t>57</t>
  </si>
  <si>
    <t>50</t>
  </si>
  <si>
    <t>66</t>
  </si>
  <si>
    <t>65</t>
  </si>
  <si>
    <t>46</t>
  </si>
  <si>
    <t>63</t>
  </si>
  <si>
    <t>69</t>
  </si>
  <si>
    <t>64</t>
  </si>
  <si>
    <t>41</t>
  </si>
  <si>
    <t>51</t>
  </si>
  <si>
    <t>61</t>
  </si>
  <si>
    <t>90</t>
  </si>
  <si>
    <t>40</t>
  </si>
  <si>
    <t>67</t>
  </si>
  <si>
    <t>62</t>
  </si>
  <si>
    <t>70</t>
  </si>
  <si>
    <t>74</t>
  </si>
  <si>
    <t>85</t>
  </si>
  <si>
    <t>97</t>
  </si>
  <si>
    <t>54</t>
  </si>
  <si>
    <t>77</t>
  </si>
  <si>
    <t>59</t>
  </si>
  <si>
    <t>98</t>
  </si>
  <si>
    <t>80</t>
  </si>
  <si>
    <t>83</t>
  </si>
  <si>
    <t>76</t>
  </si>
  <si>
    <t>75</t>
  </si>
  <si>
    <t>84</t>
  </si>
  <si>
    <t>96</t>
  </si>
  <si>
    <t>78</t>
  </si>
  <si>
    <t>42</t>
  </si>
  <si>
    <t>91</t>
  </si>
  <si>
    <t>82</t>
  </si>
  <si>
    <t>71</t>
  </si>
  <si>
    <t>88</t>
  </si>
  <si>
    <t>60</t>
  </si>
  <si>
    <t>44</t>
  </si>
  <si>
    <t>35</t>
  </si>
  <si>
    <t>87</t>
  </si>
  <si>
    <t>94</t>
  </si>
  <si>
    <t>21</t>
  </si>
  <si>
    <t>53</t>
  </si>
  <si>
    <t>92</t>
  </si>
  <si>
    <t>89</t>
  </si>
  <si>
    <t>30</t>
  </si>
  <si>
    <t>99</t>
  </si>
  <si>
    <t>72</t>
  </si>
  <si>
    <t>37</t>
  </si>
  <si>
    <t>Average price 2014</t>
  </si>
  <si>
    <t>Average price 2004</t>
  </si>
  <si>
    <t>168</t>
  </si>
  <si>
    <t>141</t>
  </si>
  <si>
    <t>151</t>
  </si>
  <si>
    <t>164</t>
  </si>
  <si>
    <t>156</t>
  </si>
  <si>
    <t>132</t>
  </si>
  <si>
    <t>150</t>
  </si>
  <si>
    <t>170</t>
  </si>
  <si>
    <t>130</t>
  </si>
  <si>
    <t>139</t>
  </si>
  <si>
    <t>153</t>
  </si>
  <si>
    <t>131</t>
  </si>
  <si>
    <t>129</t>
  </si>
  <si>
    <t>187</t>
  </si>
  <si>
    <t>250</t>
  </si>
  <si>
    <t>167</t>
  </si>
  <si>
    <t>196</t>
  </si>
  <si>
    <t>115</t>
  </si>
  <si>
    <t>197</t>
  </si>
  <si>
    <t>198</t>
  </si>
  <si>
    <t>213</t>
  </si>
  <si>
    <t>240</t>
  </si>
  <si>
    <t>172</t>
  </si>
  <si>
    <t>146</t>
  </si>
  <si>
    <t>125</t>
  </si>
  <si>
    <t>140</t>
  </si>
  <si>
    <t>145</t>
  </si>
  <si>
    <t>171</t>
  </si>
  <si>
    <t>144</t>
  </si>
  <si>
    <t>159</t>
  </si>
  <si>
    <t>154</t>
  </si>
  <si>
    <t>123</t>
  </si>
  <si>
    <t>122</t>
  </si>
  <si>
    <t>158</t>
  </si>
  <si>
    <t>209</t>
  </si>
  <si>
    <t>234</t>
  </si>
  <si>
    <t>254</t>
  </si>
  <si>
    <t>163</t>
  </si>
  <si>
    <t>189</t>
  </si>
  <si>
    <t>161</t>
  </si>
  <si>
    <t>185</t>
  </si>
  <si>
    <t>176</t>
  </si>
  <si>
    <t>205</t>
  </si>
  <si>
    <t>222</t>
  </si>
  <si>
    <t>100</t>
  </si>
  <si>
    <t>221</t>
  </si>
  <si>
    <t>212</t>
  </si>
  <si>
    <t>195</t>
  </si>
  <si>
    <t>174</t>
  </si>
  <si>
    <t>190</t>
  </si>
  <si>
    <t>155</t>
  </si>
  <si>
    <t>210</t>
  </si>
  <si>
    <t>179</t>
  </si>
  <si>
    <t>175</t>
  </si>
  <si>
    <t>114</t>
  </si>
  <si>
    <t>135</t>
  </si>
  <si>
    <t>137</t>
  </si>
  <si>
    <t>113</t>
  </si>
  <si>
    <t>101</t>
  </si>
  <si>
    <t>206</t>
  </si>
  <si>
    <t>127</t>
  </si>
  <si>
    <t>136</t>
  </si>
  <si>
    <t>149</t>
  </si>
  <si>
    <t>231</t>
  </si>
  <si>
    <t>191</t>
  </si>
  <si>
    <t>104</t>
  </si>
  <si>
    <t>143</t>
  </si>
  <si>
    <t>133</t>
  </si>
  <si>
    <t>147</t>
  </si>
  <si>
    <t>182</t>
  </si>
  <si>
    <t>183</t>
  </si>
  <si>
    <t>148</t>
  </si>
  <si>
    <t>128</t>
  </si>
  <si>
    <t>157</t>
  </si>
  <si>
    <t>188</t>
  </si>
  <si>
    <t>152</t>
  </si>
  <si>
    <t>177</t>
  </si>
  <si>
    <t>224</t>
  </si>
  <si>
    <t>166</t>
  </si>
  <si>
    <t>169</t>
  </si>
  <si>
    <t>219</t>
  </si>
  <si>
    <t>165</t>
  </si>
  <si>
    <t>247</t>
  </si>
  <si>
    <t>203</t>
  </si>
  <si>
    <t>109</t>
  </si>
  <si>
    <t>184</t>
  </si>
  <si>
    <t>226</t>
  </si>
  <si>
    <t>178</t>
  </si>
  <si>
    <t>180</t>
  </si>
  <si>
    <t>233</t>
  </si>
  <si>
    <t>243</t>
  </si>
  <si>
    <t>238</t>
  </si>
  <si>
    <t>134</t>
  </si>
  <si>
    <t>193</t>
  </si>
  <si>
    <t>186</t>
  </si>
  <si>
    <t>181</t>
  </si>
  <si>
    <t>107</t>
  </si>
  <si>
    <t>138</t>
  </si>
  <si>
    <t>173</t>
  </si>
  <si>
    <t>192</t>
  </si>
  <si>
    <t>162</t>
  </si>
  <si>
    <t>216</t>
  </si>
  <si>
    <t>257</t>
  </si>
  <si>
    <t>230</t>
  </si>
  <si>
    <t>248</t>
  </si>
  <si>
    <t>200</t>
  </si>
  <si>
    <t>255</t>
  </si>
  <si>
    <t>218</t>
  </si>
  <si>
    <t>202</t>
  </si>
  <si>
    <t>220</t>
  </si>
  <si>
    <t>225</t>
  </si>
  <si>
    <t>325</t>
  </si>
  <si>
    <t>223</t>
  </si>
  <si>
    <t>217</t>
  </si>
  <si>
    <t>306</t>
  </si>
  <si>
    <t>256</t>
  </si>
  <si>
    <t>374</t>
  </si>
  <si>
    <t>199</t>
  </si>
  <si>
    <t>372</t>
  </si>
  <si>
    <t>316</t>
  </si>
  <si>
    <t>103</t>
  </si>
  <si>
    <t>106</t>
  </si>
  <si>
    <t>111</t>
  </si>
  <si>
    <t>112</t>
  </si>
  <si>
    <t>126</t>
  </si>
  <si>
    <t>105</t>
  </si>
  <si>
    <t>102</t>
  </si>
  <si>
    <t>116</t>
  </si>
  <si>
    <t>118</t>
  </si>
  <si>
    <t>120</t>
  </si>
  <si>
    <t>124</t>
  </si>
  <si>
    <t>2</t>
  </si>
  <si>
    <t>1</t>
  </si>
  <si>
    <t>4</t>
  </si>
  <si>
    <t>8</t>
  </si>
  <si>
    <t>3</t>
  </si>
  <si>
    <t>6</t>
  </si>
  <si>
    <t>5</t>
  </si>
  <si>
    <t>0</t>
  </si>
  <si>
    <t>26</t>
  </si>
  <si>
    <t>15</t>
  </si>
  <si>
    <t>7</t>
  </si>
  <si>
    <t>11</t>
  </si>
  <si>
    <t>9</t>
  </si>
  <si>
    <t>10</t>
  </si>
  <si>
    <t>13</t>
  </si>
  <si>
    <t>16</t>
  </si>
  <si>
    <t>14</t>
  </si>
  <si>
    <t>23</t>
  </si>
  <si>
    <t>12</t>
  </si>
  <si>
    <t>20</t>
  </si>
  <si>
    <t>19</t>
  </si>
  <si>
    <t>22</t>
  </si>
  <si>
    <t>18</t>
  </si>
  <si>
    <t>31</t>
  </si>
  <si>
    <t>25</t>
  </si>
  <si>
    <t>Average price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</si>
</sst>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F0865"/>
      <name val="Inter"/>
      <family val="2"/>
    </font>
    <font>
      <b/>
      <sz val="11"/>
      <color rgb="FF0F0865"/>
      <name val="Inter"/>
      <family val="2"/>
    </font>
  </fonts>
  <fills count="4">
    <fill>
      <patternFill patternType="none"/>
    </fill>
    <fill>
      <patternFill patternType="gray125"/>
    </fill>
    <fill>
      <patternFill patternType="solid">
        <fgColor rgb="FFF0FAF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F0865"/>
      </left>
      <right/>
      <top/>
      <bottom/>
      <diagonal/>
    </border>
    <border>
      <left/>
      <right/>
      <top style="medium">
        <color rgb="FF0F0865"/>
      </top>
      <bottom style="medium">
        <color rgb="FF0F0865"/>
      </bottom>
      <diagonal/>
    </border>
    <border>
      <left style="medium">
        <color rgb="FF0F0865"/>
      </left>
      <right/>
      <top style="medium">
        <color rgb="FF0F0865"/>
      </top>
      <bottom style="medium">
        <color rgb="FF0F0865"/>
      </bottom>
      <diagonal/>
    </border>
    <border>
      <left/>
      <right/>
      <top style="medium">
        <color rgb="FF0F0865"/>
      </top>
      <bottom/>
      <diagonal/>
    </border>
    <border>
      <left style="medium">
        <color rgb="FF0F0865"/>
      </left>
      <right/>
      <top style="medium">
        <color rgb="FF0F08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righ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righ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righ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righ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right" vertical="center" wrapText="1" indent="1"/>
    </xf>
    <xf numFmtId="2" fontId="2" fillId="3" borderId="6" xfId="0" applyNumberFormat="1" applyFont="1" applyFill="1" applyBorder="1" applyAlignment="1">
      <alignment horizontal="right" vertical="center" wrapText="1" indent="1"/>
    </xf>
    <xf numFmtId="0" fontId="0" fillId="0" borderId="6" xfId="0" applyBorder="1"/>
    <xf numFmtId="2" fontId="1" fillId="2" borderId="6" xfId="0" applyNumberFormat="1" applyFont="1" applyFill="1" applyBorder="1" applyAlignment="1">
      <alignment horizontal="right" vertical="center" wrapText="1" indent="1"/>
    </xf>
    <xf numFmtId="2" fontId="1" fillId="3" borderId="6" xfId="0" applyNumberFormat="1" applyFont="1" applyFill="1" applyBorder="1" applyAlignment="1">
      <alignment horizontal="right" vertical="center" wrapText="1" indent="1"/>
    </xf>
    <xf numFmtId="0" fontId="1" fillId="3" borderId="6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9207-138E-44C0-8BF0-E90C9FB5B08F}">
  <dimension ref="A1:L314"/>
  <sheetViews>
    <sheetView tabSelected="1" topLeftCell="A87" workbookViewId="0">
      <selection activeCell="A100" sqref="A100"/>
    </sheetView>
  </sheetViews>
  <sheetFormatPr defaultRowHeight="14.4" x14ac:dyDescent="0.3"/>
  <cols>
    <col min="2" max="2" width="18" customWidth="1"/>
    <col min="5" max="5" width="25.6640625" customWidth="1"/>
    <col min="6" max="6" width="23.6640625" customWidth="1"/>
    <col min="7" max="7" width="25.6640625" customWidth="1"/>
    <col min="8" max="8" width="26.5546875" customWidth="1"/>
    <col min="9" max="9" width="12.6640625" customWidth="1"/>
  </cols>
  <sheetData>
    <row r="1" spans="1:12" ht="83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598</v>
      </c>
      <c r="J1" s="2" t="s">
        <v>817</v>
      </c>
      <c r="K1" s="2" t="s">
        <v>659</v>
      </c>
      <c r="L1" s="2" t="s">
        <v>660</v>
      </c>
    </row>
    <row r="2" spans="1:12" ht="15" thickBot="1" x14ac:dyDescent="0.35">
      <c r="A2" s="3"/>
      <c r="B2" s="4" t="s">
        <v>8</v>
      </c>
      <c r="C2" s="5" t="s">
        <v>9</v>
      </c>
      <c r="D2" s="5" t="s">
        <v>323</v>
      </c>
      <c r="E2" s="5" t="s">
        <v>792</v>
      </c>
      <c r="F2" s="5">
        <v>21</v>
      </c>
      <c r="G2" s="5" t="s">
        <v>604</v>
      </c>
      <c r="H2" s="18" t="s">
        <v>661</v>
      </c>
      <c r="I2" s="22">
        <f xml:space="preserve"> D2 / (1 + E2/100)</f>
        <v>3684.3137254901958</v>
      </c>
      <c r="J2" s="19">
        <f xml:space="preserve"> D2 / (1 + F2/100)</f>
        <v>3105.7851239669421</v>
      </c>
      <c r="K2" s="19">
        <f xml:space="preserve"> D2 / (1 + G2/100)</f>
        <v>2236.9047619047615</v>
      </c>
      <c r="L2" s="19">
        <f xml:space="preserve"> D2 / (1 + H2/100)</f>
        <v>1402.2388059701493</v>
      </c>
    </row>
    <row r="3" spans="1:12" ht="15" thickBot="1" x14ac:dyDescent="0.35">
      <c r="A3" s="6"/>
      <c r="B3" s="7" t="s">
        <v>10</v>
      </c>
      <c r="C3" s="8"/>
      <c r="D3" s="8" t="s">
        <v>324</v>
      </c>
      <c r="E3" s="8" t="s">
        <v>324</v>
      </c>
      <c r="F3" s="8"/>
      <c r="G3" s="8" t="s">
        <v>324</v>
      </c>
      <c r="H3" s="20" t="s">
        <v>324</v>
      </c>
      <c r="I3" s="22" t="e">
        <f t="shared" ref="I3:I66" si="0" xml:space="preserve"> D3 / (1 + E3/100)</f>
        <v>#VALUE!</v>
      </c>
      <c r="J3" s="19" t="e">
        <f t="shared" ref="J3:J66" si="1" xml:space="preserve"> D3 / (1 + F3/100)</f>
        <v>#VALUE!</v>
      </c>
      <c r="K3" s="19" t="e">
        <f t="shared" ref="K3:K66" si="2" xml:space="preserve"> D3 / (1 + G3/100)</f>
        <v>#VALUE!</v>
      </c>
      <c r="L3" s="19" t="e">
        <f t="shared" ref="L3:L66" si="3" xml:space="preserve"> D3 / (1 + H3/100)</f>
        <v>#VALUE!</v>
      </c>
    </row>
    <row r="4" spans="1:12" ht="15" thickBot="1" x14ac:dyDescent="0.35">
      <c r="A4" s="13">
        <v>114</v>
      </c>
      <c r="B4" s="14" t="s">
        <v>11</v>
      </c>
      <c r="C4" s="15">
        <v>187</v>
      </c>
      <c r="D4" s="15" t="s">
        <v>325</v>
      </c>
      <c r="E4" s="15" t="s">
        <v>793</v>
      </c>
      <c r="F4" s="15">
        <v>13</v>
      </c>
      <c r="G4" s="15" t="s">
        <v>605</v>
      </c>
      <c r="H4" s="21" t="s">
        <v>662</v>
      </c>
      <c r="I4" s="22">
        <f t="shared" si="0"/>
        <v>5204.9504950495048</v>
      </c>
      <c r="J4" s="19">
        <f t="shared" si="1"/>
        <v>4652.212389380531</v>
      </c>
      <c r="K4" s="19">
        <f t="shared" si="2"/>
        <v>3625.5172413793102</v>
      </c>
      <c r="L4" s="19">
        <f t="shared" si="3"/>
        <v>2181.3278008298753</v>
      </c>
    </row>
    <row r="5" spans="1:12" ht="15" thickBot="1" x14ac:dyDescent="0.35">
      <c r="A5" s="6">
        <v>115</v>
      </c>
      <c r="B5" s="9" t="s">
        <v>12</v>
      </c>
      <c r="C5" s="8">
        <v>318</v>
      </c>
      <c r="D5" s="8" t="s">
        <v>326</v>
      </c>
      <c r="E5" s="8" t="s">
        <v>794</v>
      </c>
      <c r="F5" s="8">
        <v>18</v>
      </c>
      <c r="G5" s="8" t="s">
        <v>606</v>
      </c>
      <c r="H5" s="20" t="s">
        <v>663</v>
      </c>
      <c r="I5" s="22">
        <f t="shared" si="0"/>
        <v>5082.6923076923076</v>
      </c>
      <c r="J5" s="19">
        <f t="shared" si="1"/>
        <v>4479.6610169491523</v>
      </c>
      <c r="K5" s="19">
        <f t="shared" si="2"/>
        <v>3477.6315789473683</v>
      </c>
      <c r="L5" s="19">
        <f t="shared" si="3"/>
        <v>2105.9760956175301</v>
      </c>
    </row>
    <row r="6" spans="1:12" ht="15" thickBot="1" x14ac:dyDescent="0.35">
      <c r="A6" s="13">
        <v>117</v>
      </c>
      <c r="B6" s="14" t="s">
        <v>13</v>
      </c>
      <c r="C6" s="15">
        <v>482</v>
      </c>
      <c r="D6" s="15" t="s">
        <v>327</v>
      </c>
      <c r="E6" s="15" t="s">
        <v>793</v>
      </c>
      <c r="F6" s="15">
        <v>21</v>
      </c>
      <c r="G6" s="15" t="s">
        <v>607</v>
      </c>
      <c r="H6" s="21" t="s">
        <v>664</v>
      </c>
      <c r="I6" s="22">
        <f t="shared" si="0"/>
        <v>5610.8910891089108</v>
      </c>
      <c r="J6" s="19">
        <f t="shared" si="1"/>
        <v>4683.4710743801652</v>
      </c>
      <c r="K6" s="19">
        <f t="shared" si="2"/>
        <v>3586.7088607594933</v>
      </c>
      <c r="L6" s="19">
        <f t="shared" si="3"/>
        <v>2146.5909090909095</v>
      </c>
    </row>
    <row r="7" spans="1:12" ht="15" thickBot="1" x14ac:dyDescent="0.35">
      <c r="A7" s="6">
        <v>120</v>
      </c>
      <c r="B7" s="9" t="s">
        <v>14</v>
      </c>
      <c r="C7" s="8">
        <v>411</v>
      </c>
      <c r="D7" s="8" t="s">
        <v>328</v>
      </c>
      <c r="E7" s="8">
        <v>-1</v>
      </c>
      <c r="F7" s="8">
        <v>28</v>
      </c>
      <c r="G7" s="8" t="s">
        <v>606</v>
      </c>
      <c r="H7" s="20" t="s">
        <v>665</v>
      </c>
      <c r="I7" s="22">
        <f t="shared" si="0"/>
        <v>6283.8383838383843</v>
      </c>
      <c r="J7" s="19">
        <f t="shared" si="1"/>
        <v>4860.15625</v>
      </c>
      <c r="K7" s="19">
        <f t="shared" si="2"/>
        <v>4092.7631578947367</v>
      </c>
      <c r="L7" s="19">
        <f t="shared" si="3"/>
        <v>2430.078125</v>
      </c>
    </row>
    <row r="8" spans="1:12" ht="15" thickBot="1" x14ac:dyDescent="0.35">
      <c r="A8" s="13">
        <v>123</v>
      </c>
      <c r="B8" s="14" t="s">
        <v>15</v>
      </c>
      <c r="C8" s="15">
        <v>340</v>
      </c>
      <c r="D8" s="15" t="s">
        <v>329</v>
      </c>
      <c r="E8" s="15">
        <v>-2</v>
      </c>
      <c r="F8" s="15">
        <v>14</v>
      </c>
      <c r="G8" s="15" t="s">
        <v>608</v>
      </c>
      <c r="H8" s="21" t="s">
        <v>666</v>
      </c>
      <c r="I8" s="22">
        <f t="shared" si="0"/>
        <v>5584.6938775510207</v>
      </c>
      <c r="J8" s="19">
        <f t="shared" si="1"/>
        <v>4800.8771929824552</v>
      </c>
      <c r="K8" s="19">
        <f t="shared" si="2"/>
        <v>3827.2727272727275</v>
      </c>
      <c r="L8" s="19">
        <f t="shared" si="3"/>
        <v>2359.0517241379307</v>
      </c>
    </row>
    <row r="9" spans="1:12" ht="15" thickBot="1" x14ac:dyDescent="0.35">
      <c r="A9" s="6">
        <v>125</v>
      </c>
      <c r="B9" s="9" t="s">
        <v>16</v>
      </c>
      <c r="C9" s="8">
        <v>231</v>
      </c>
      <c r="D9" s="8" t="s">
        <v>330</v>
      </c>
      <c r="E9" s="8">
        <v>-1</v>
      </c>
      <c r="F9" s="8">
        <v>16</v>
      </c>
      <c r="G9" s="8" t="s">
        <v>609</v>
      </c>
      <c r="H9" s="20" t="s">
        <v>667</v>
      </c>
      <c r="I9" s="22">
        <f t="shared" si="0"/>
        <v>6416.1616161616166</v>
      </c>
      <c r="J9" s="19">
        <f t="shared" si="1"/>
        <v>5475.8620689655172</v>
      </c>
      <c r="K9" s="19">
        <f t="shared" si="2"/>
        <v>4071.7948717948716</v>
      </c>
      <c r="L9" s="19">
        <f t="shared" si="3"/>
        <v>2540.8000000000002</v>
      </c>
    </row>
    <row r="10" spans="1:12" ht="15" thickBot="1" x14ac:dyDescent="0.35">
      <c r="A10" s="13">
        <v>126</v>
      </c>
      <c r="B10" s="14" t="s">
        <v>17</v>
      </c>
      <c r="C10" s="15">
        <v>624</v>
      </c>
      <c r="D10" s="15" t="s">
        <v>331</v>
      </c>
      <c r="E10" s="15" t="s">
        <v>793</v>
      </c>
      <c r="F10" s="15">
        <v>17</v>
      </c>
      <c r="G10" s="15" t="s">
        <v>606</v>
      </c>
      <c r="H10" s="21" t="s">
        <v>668</v>
      </c>
      <c r="I10" s="22">
        <f t="shared" si="0"/>
        <v>6211.8811881188121</v>
      </c>
      <c r="J10" s="19">
        <f t="shared" si="1"/>
        <v>5362.393162393163</v>
      </c>
      <c r="K10" s="19">
        <f t="shared" si="2"/>
        <v>4127.6315789473683</v>
      </c>
      <c r="L10" s="19">
        <f t="shared" si="3"/>
        <v>2323.7037037037035</v>
      </c>
    </row>
    <row r="11" spans="1:12" ht="15" thickBot="1" x14ac:dyDescent="0.35">
      <c r="A11" s="6">
        <v>127</v>
      </c>
      <c r="B11" s="9" t="s">
        <v>18</v>
      </c>
      <c r="C11" s="8">
        <v>319</v>
      </c>
      <c r="D11" s="8" t="s">
        <v>332</v>
      </c>
      <c r="E11" s="8">
        <v>-1</v>
      </c>
      <c r="F11" s="8">
        <v>13</v>
      </c>
      <c r="G11" s="8" t="s">
        <v>610</v>
      </c>
      <c r="H11" s="20" t="s">
        <v>663</v>
      </c>
      <c r="I11" s="22">
        <f t="shared" si="0"/>
        <v>4923.2323232323233</v>
      </c>
      <c r="J11" s="19">
        <f t="shared" si="1"/>
        <v>4313.2743362831861</v>
      </c>
      <c r="K11" s="19">
        <f t="shared" si="2"/>
        <v>3271.1409395973155</v>
      </c>
      <c r="L11" s="19">
        <f t="shared" si="3"/>
        <v>1941.8326693227093</v>
      </c>
    </row>
    <row r="12" spans="1:12" ht="15" thickBot="1" x14ac:dyDescent="0.35">
      <c r="A12" s="13">
        <v>128</v>
      </c>
      <c r="B12" s="14" t="s">
        <v>19</v>
      </c>
      <c r="C12" s="15">
        <v>66</v>
      </c>
      <c r="D12" s="15" t="s">
        <v>333</v>
      </c>
      <c r="E12" s="15" t="s">
        <v>792</v>
      </c>
      <c r="F12" s="15">
        <v>11</v>
      </c>
      <c r="G12" s="15" t="s">
        <v>611</v>
      </c>
      <c r="H12" s="21" t="s">
        <v>669</v>
      </c>
      <c r="I12" s="22">
        <f t="shared" si="0"/>
        <v>5317.6470588235297</v>
      </c>
      <c r="J12" s="19">
        <f t="shared" si="1"/>
        <v>4886.4864864864858</v>
      </c>
      <c r="K12" s="19">
        <f t="shared" si="2"/>
        <v>3454.7770700636947</v>
      </c>
      <c r="L12" s="19">
        <f t="shared" si="3"/>
        <v>2358.2608695652175</v>
      </c>
    </row>
    <row r="13" spans="1:12" ht="15" thickBot="1" x14ac:dyDescent="0.35">
      <c r="A13" s="6">
        <v>136</v>
      </c>
      <c r="B13" s="9" t="s">
        <v>20</v>
      </c>
      <c r="C13" s="8">
        <v>466</v>
      </c>
      <c r="D13" s="8" t="s">
        <v>334</v>
      </c>
      <c r="E13" s="8" t="s">
        <v>793</v>
      </c>
      <c r="F13" s="8">
        <v>15</v>
      </c>
      <c r="G13" s="8" t="s">
        <v>612</v>
      </c>
      <c r="H13" s="20" t="s">
        <v>670</v>
      </c>
      <c r="I13" s="22">
        <f t="shared" si="0"/>
        <v>4869.3069306930693</v>
      </c>
      <c r="J13" s="19">
        <f t="shared" si="1"/>
        <v>4276.521739130435</v>
      </c>
      <c r="K13" s="19">
        <f t="shared" si="2"/>
        <v>3278.6666666666665</v>
      </c>
      <c r="L13" s="19">
        <f t="shared" si="3"/>
        <v>2057.7405857740587</v>
      </c>
    </row>
    <row r="14" spans="1:12" ht="15" thickBot="1" x14ac:dyDescent="0.35">
      <c r="A14" s="13">
        <v>138</v>
      </c>
      <c r="B14" s="14" t="s">
        <v>21</v>
      </c>
      <c r="C14" s="15">
        <v>344</v>
      </c>
      <c r="D14" s="15" t="s">
        <v>335</v>
      </c>
      <c r="E14" s="15">
        <v>-2</v>
      </c>
      <c r="F14" s="15">
        <v>19</v>
      </c>
      <c r="G14" s="15" t="s">
        <v>612</v>
      </c>
      <c r="H14" s="21" t="s">
        <v>671</v>
      </c>
      <c r="I14" s="22">
        <f t="shared" si="0"/>
        <v>6447.9591836734699</v>
      </c>
      <c r="J14" s="19">
        <f t="shared" si="1"/>
        <v>5310.0840336134452</v>
      </c>
      <c r="K14" s="19">
        <f t="shared" si="2"/>
        <v>4212.666666666667</v>
      </c>
      <c r="L14" s="19">
        <f t="shared" si="3"/>
        <v>2497.6284584980235</v>
      </c>
    </row>
    <row r="15" spans="1:12" ht="15" thickBot="1" x14ac:dyDescent="0.35">
      <c r="A15" s="6">
        <v>139</v>
      </c>
      <c r="B15" s="9" t="s">
        <v>22</v>
      </c>
      <c r="C15" s="8">
        <v>128</v>
      </c>
      <c r="D15" s="8" t="s">
        <v>336</v>
      </c>
      <c r="E15" s="8">
        <v>-4</v>
      </c>
      <c r="F15" s="8">
        <v>5</v>
      </c>
      <c r="G15" s="8" t="s">
        <v>605</v>
      </c>
      <c r="H15" s="20" t="s">
        <v>672</v>
      </c>
      <c r="I15" s="22">
        <f t="shared" si="0"/>
        <v>4840.625</v>
      </c>
      <c r="J15" s="19">
        <f t="shared" si="1"/>
        <v>4425.7142857142853</v>
      </c>
      <c r="K15" s="19">
        <f t="shared" si="2"/>
        <v>3204.8275862068967</v>
      </c>
      <c r="L15" s="19">
        <f t="shared" si="3"/>
        <v>2011.6883116883116</v>
      </c>
    </row>
    <row r="16" spans="1:12" ht="15" thickBot="1" x14ac:dyDescent="0.35">
      <c r="A16" s="13">
        <v>140</v>
      </c>
      <c r="B16" s="14" t="s">
        <v>23</v>
      </c>
      <c r="C16" s="15">
        <v>124</v>
      </c>
      <c r="D16" s="15" t="s">
        <v>337</v>
      </c>
      <c r="E16" s="15" t="s">
        <v>795</v>
      </c>
      <c r="F16" s="15">
        <v>15</v>
      </c>
      <c r="G16" s="15" t="s">
        <v>613</v>
      </c>
      <c r="H16" s="21" t="s">
        <v>673</v>
      </c>
      <c r="I16" s="22">
        <f t="shared" si="0"/>
        <v>4112.9629629629626</v>
      </c>
      <c r="J16" s="19">
        <f t="shared" si="1"/>
        <v>3862.608695652174</v>
      </c>
      <c r="K16" s="19">
        <f t="shared" si="2"/>
        <v>2675.9036144578313</v>
      </c>
      <c r="L16" s="19">
        <f t="shared" si="3"/>
        <v>1939.7379912663755</v>
      </c>
    </row>
    <row r="17" spans="1:12" ht="15" thickBot="1" x14ac:dyDescent="0.35">
      <c r="A17" s="6">
        <v>160</v>
      </c>
      <c r="B17" s="9" t="s">
        <v>24</v>
      </c>
      <c r="C17" s="8">
        <v>555</v>
      </c>
      <c r="D17" s="8">
        <v>8585</v>
      </c>
      <c r="E17" s="8" t="s">
        <v>796</v>
      </c>
      <c r="F17" s="8">
        <v>22</v>
      </c>
      <c r="G17" s="8" t="s">
        <v>607</v>
      </c>
      <c r="H17" s="20" t="s">
        <v>674</v>
      </c>
      <c r="I17" s="22">
        <f t="shared" si="0"/>
        <v>8334.9514563106786</v>
      </c>
      <c r="J17" s="19">
        <f t="shared" si="1"/>
        <v>7036.8852459016398</v>
      </c>
      <c r="K17" s="19">
        <f t="shared" si="2"/>
        <v>5433.5443037974683</v>
      </c>
      <c r="L17" s="19">
        <f t="shared" si="3"/>
        <v>2991.2891986062718</v>
      </c>
    </row>
    <row r="18" spans="1:12" ht="15" thickBot="1" x14ac:dyDescent="0.35">
      <c r="A18" s="13">
        <v>162</v>
      </c>
      <c r="B18" s="14" t="s">
        <v>25</v>
      </c>
      <c r="C18" s="15">
        <v>157</v>
      </c>
      <c r="D18" s="15" t="s">
        <v>338</v>
      </c>
      <c r="E18" s="15" t="s">
        <v>797</v>
      </c>
      <c r="F18" s="15">
        <v>30</v>
      </c>
      <c r="G18" s="15" t="s">
        <v>614</v>
      </c>
      <c r="H18" s="21" t="s">
        <v>675</v>
      </c>
      <c r="I18" s="22">
        <f t="shared" si="0"/>
        <v>12353.773584905659</v>
      </c>
      <c r="J18" s="19">
        <f t="shared" si="1"/>
        <v>10073.076923076922</v>
      </c>
      <c r="K18" s="19">
        <f t="shared" si="2"/>
        <v>7936.3636363636369</v>
      </c>
      <c r="L18" s="19">
        <f t="shared" si="3"/>
        <v>3741.4285714285716</v>
      </c>
    </row>
    <row r="19" spans="1:12" ht="15" thickBot="1" x14ac:dyDescent="0.35">
      <c r="A19" s="6">
        <v>163</v>
      </c>
      <c r="B19" s="9" t="s">
        <v>26</v>
      </c>
      <c r="C19" s="8">
        <v>367</v>
      </c>
      <c r="D19" s="8" t="s">
        <v>339</v>
      </c>
      <c r="E19" s="8" t="s">
        <v>794</v>
      </c>
      <c r="F19" s="8">
        <v>15</v>
      </c>
      <c r="G19" s="8" t="s">
        <v>615</v>
      </c>
      <c r="H19" s="20" t="s">
        <v>676</v>
      </c>
      <c r="I19" s="22">
        <f t="shared" si="0"/>
        <v>7697.1153846153848</v>
      </c>
      <c r="J19" s="19">
        <f t="shared" si="1"/>
        <v>6960.8695652173919</v>
      </c>
      <c r="K19" s="19">
        <f t="shared" si="2"/>
        <v>5482.8767123287671</v>
      </c>
      <c r="L19" s="19">
        <f t="shared" si="3"/>
        <v>2998.1273408239699</v>
      </c>
    </row>
    <row r="20" spans="1:12" ht="15" thickBot="1" x14ac:dyDescent="0.35">
      <c r="A20" s="13">
        <v>180</v>
      </c>
      <c r="B20" s="14" t="s">
        <v>27</v>
      </c>
      <c r="C20" s="15" t="s">
        <v>28</v>
      </c>
      <c r="D20" s="15" t="s">
        <v>340</v>
      </c>
      <c r="E20" s="15" t="s">
        <v>793</v>
      </c>
      <c r="F20" s="15">
        <v>17</v>
      </c>
      <c r="G20" s="15" t="s">
        <v>612</v>
      </c>
      <c r="H20" s="21" t="s">
        <v>677</v>
      </c>
      <c r="I20" s="22">
        <f t="shared" si="0"/>
        <v>8511.8811881188121</v>
      </c>
      <c r="J20" s="19">
        <f t="shared" si="1"/>
        <v>7347.863247863248</v>
      </c>
      <c r="K20" s="19">
        <f t="shared" si="2"/>
        <v>5731.333333333333</v>
      </c>
      <c r="L20" s="19">
        <f t="shared" si="3"/>
        <v>2904.3918918918921</v>
      </c>
    </row>
    <row r="21" spans="1:12" ht="15" thickBot="1" x14ac:dyDescent="0.35">
      <c r="A21" s="6">
        <v>181</v>
      </c>
      <c r="B21" s="9" t="s">
        <v>29</v>
      </c>
      <c r="C21" s="8">
        <v>270</v>
      </c>
      <c r="D21" s="8" t="s">
        <v>341</v>
      </c>
      <c r="E21" s="8">
        <v>-2</v>
      </c>
      <c r="F21" s="8">
        <v>8</v>
      </c>
      <c r="G21" s="8" t="s">
        <v>606</v>
      </c>
      <c r="H21" s="20" t="s">
        <v>678</v>
      </c>
      <c r="I21" s="22">
        <f t="shared" si="0"/>
        <v>4261.2244897959181</v>
      </c>
      <c r="J21" s="19">
        <f t="shared" si="1"/>
        <v>3866.6666666666665</v>
      </c>
      <c r="K21" s="19">
        <f t="shared" si="2"/>
        <v>2747.3684210526317</v>
      </c>
      <c r="L21" s="19">
        <f t="shared" si="3"/>
        <v>1942.325581395349</v>
      </c>
    </row>
    <row r="22" spans="1:12" ht="15" thickBot="1" x14ac:dyDescent="0.35">
      <c r="A22" s="13">
        <v>182</v>
      </c>
      <c r="B22" s="14" t="s">
        <v>30</v>
      </c>
      <c r="C22" s="15">
        <v>475</v>
      </c>
      <c r="D22" s="15" t="s">
        <v>342</v>
      </c>
      <c r="E22" s="15" t="s">
        <v>792</v>
      </c>
      <c r="F22" s="15">
        <v>27</v>
      </c>
      <c r="G22" s="15" t="s">
        <v>607</v>
      </c>
      <c r="H22" s="21" t="s">
        <v>679</v>
      </c>
      <c r="I22" s="22">
        <f t="shared" si="0"/>
        <v>9213.7254901960787</v>
      </c>
      <c r="J22" s="19">
        <f t="shared" si="1"/>
        <v>7400</v>
      </c>
      <c r="K22" s="19">
        <f t="shared" si="2"/>
        <v>5948.1012658227846</v>
      </c>
      <c r="L22" s="19">
        <f t="shared" si="3"/>
        <v>3164.3097643097644</v>
      </c>
    </row>
    <row r="23" spans="1:12" ht="15" thickBot="1" x14ac:dyDescent="0.35">
      <c r="A23" s="6">
        <v>183</v>
      </c>
      <c r="B23" s="9" t="s">
        <v>31</v>
      </c>
      <c r="C23" s="8">
        <v>41</v>
      </c>
      <c r="D23" s="8" t="s">
        <v>343</v>
      </c>
      <c r="E23" s="8" t="s">
        <v>796</v>
      </c>
      <c r="F23" s="8">
        <v>22</v>
      </c>
      <c r="G23" s="8" t="s">
        <v>616</v>
      </c>
      <c r="H23" s="20" t="s">
        <v>680</v>
      </c>
      <c r="I23" s="22">
        <f t="shared" si="0"/>
        <v>9407.7669902912621</v>
      </c>
      <c r="J23" s="19">
        <f t="shared" si="1"/>
        <v>7942.622950819672</v>
      </c>
      <c r="K23" s="19">
        <f t="shared" si="2"/>
        <v>5944.7852760736196</v>
      </c>
      <c r="L23" s="19">
        <f t="shared" si="3"/>
        <v>3251.6778523489934</v>
      </c>
    </row>
    <row r="24" spans="1:12" ht="15" thickBot="1" x14ac:dyDescent="0.35">
      <c r="A24" s="13">
        <v>184</v>
      </c>
      <c r="B24" s="14" t="s">
        <v>32</v>
      </c>
      <c r="C24" s="15">
        <v>29</v>
      </c>
      <c r="D24" s="15" t="s">
        <v>344</v>
      </c>
      <c r="E24" s="15">
        <v>-5</v>
      </c>
      <c r="F24" s="15">
        <v>14</v>
      </c>
      <c r="G24" s="15" t="s">
        <v>605</v>
      </c>
      <c r="H24" s="21" t="s">
        <v>681</v>
      </c>
      <c r="I24" s="22">
        <f t="shared" si="0"/>
        <v>11610.526315789475</v>
      </c>
      <c r="J24" s="19">
        <f t="shared" si="1"/>
        <v>9675.4385964912271</v>
      </c>
      <c r="K24" s="19">
        <f t="shared" si="2"/>
        <v>7606.8965517241386</v>
      </c>
      <c r="L24" s="19">
        <f t="shared" si="3"/>
        <v>3523.961661341853</v>
      </c>
    </row>
    <row r="25" spans="1:12" ht="15" thickBot="1" x14ac:dyDescent="0.35">
      <c r="A25" s="6">
        <v>186</v>
      </c>
      <c r="B25" s="9" t="s">
        <v>33</v>
      </c>
      <c r="C25" s="8">
        <v>218</v>
      </c>
      <c r="D25" s="8" t="s">
        <v>345</v>
      </c>
      <c r="E25" s="8" t="s">
        <v>798</v>
      </c>
      <c r="F25" s="8">
        <v>32</v>
      </c>
      <c r="G25" s="8" t="s">
        <v>617</v>
      </c>
      <c r="H25" s="20" t="s">
        <v>682</v>
      </c>
      <c r="I25" s="22">
        <f t="shared" si="0"/>
        <v>12319.047619047618</v>
      </c>
      <c r="J25" s="19">
        <f t="shared" si="1"/>
        <v>9799.242424242424</v>
      </c>
      <c r="K25" s="19">
        <f t="shared" si="2"/>
        <v>7653.8461538461543</v>
      </c>
      <c r="L25" s="19">
        <f t="shared" si="3"/>
        <v>3804.4117647058824</v>
      </c>
    </row>
    <row r="26" spans="1:12" ht="15" thickBot="1" x14ac:dyDescent="0.35">
      <c r="A26" s="13">
        <v>187</v>
      </c>
      <c r="B26" s="14" t="s">
        <v>34</v>
      </c>
      <c r="C26" s="15">
        <v>66</v>
      </c>
      <c r="D26" s="15" t="s">
        <v>346</v>
      </c>
      <c r="E26" s="15" t="s">
        <v>798</v>
      </c>
      <c r="F26" s="15">
        <v>27</v>
      </c>
      <c r="G26" s="15" t="s">
        <v>611</v>
      </c>
      <c r="H26" s="21" t="s">
        <v>683</v>
      </c>
      <c r="I26" s="22">
        <f t="shared" si="0"/>
        <v>8180</v>
      </c>
      <c r="J26" s="19">
        <f t="shared" si="1"/>
        <v>6762.9921259842522</v>
      </c>
      <c r="K26" s="19">
        <f t="shared" si="2"/>
        <v>5470.7006369426754</v>
      </c>
      <c r="L26" s="19">
        <f t="shared" si="3"/>
        <v>3157.7205882352946</v>
      </c>
    </row>
    <row r="27" spans="1:12" ht="15" thickBot="1" x14ac:dyDescent="0.35">
      <c r="A27" s="6">
        <v>188</v>
      </c>
      <c r="B27" s="9" t="s">
        <v>35</v>
      </c>
      <c r="C27" s="8">
        <v>523</v>
      </c>
      <c r="D27" s="8" t="s">
        <v>347</v>
      </c>
      <c r="E27" s="8">
        <v>-1</v>
      </c>
      <c r="F27" s="8">
        <v>22</v>
      </c>
      <c r="G27" s="8" t="s">
        <v>618</v>
      </c>
      <c r="H27" s="20" t="s">
        <v>684</v>
      </c>
      <c r="I27" s="22">
        <f t="shared" si="0"/>
        <v>3538.3838383838383</v>
      </c>
      <c r="J27" s="19">
        <f t="shared" si="1"/>
        <v>2871.311475409836</v>
      </c>
      <c r="K27" s="19">
        <f t="shared" si="2"/>
        <v>2135.9756097560976</v>
      </c>
      <c r="L27" s="19">
        <f t="shared" si="3"/>
        <v>1423.9837398373984</v>
      </c>
    </row>
    <row r="28" spans="1:12" ht="15" thickBot="1" x14ac:dyDescent="0.35">
      <c r="A28" s="13">
        <v>191</v>
      </c>
      <c r="B28" s="14" t="s">
        <v>36</v>
      </c>
      <c r="C28" s="15">
        <v>219</v>
      </c>
      <c r="D28" s="15" t="s">
        <v>348</v>
      </c>
      <c r="E28" s="15">
        <v>-3</v>
      </c>
      <c r="F28" s="15">
        <v>11</v>
      </c>
      <c r="G28" s="15" t="s">
        <v>619</v>
      </c>
      <c r="H28" s="21" t="s">
        <v>685</v>
      </c>
      <c r="I28" s="22">
        <f t="shared" si="0"/>
        <v>5526.8041237113403</v>
      </c>
      <c r="J28" s="19">
        <f t="shared" si="1"/>
        <v>4829.7297297297291</v>
      </c>
      <c r="K28" s="19">
        <f t="shared" si="2"/>
        <v>3802.1276595744685</v>
      </c>
      <c r="L28" s="19">
        <f t="shared" si="3"/>
        <v>2382.6666666666665</v>
      </c>
    </row>
    <row r="29" spans="1:12" ht="15" thickBot="1" x14ac:dyDescent="0.35">
      <c r="A29" s="6">
        <v>192</v>
      </c>
      <c r="B29" s="9" t="s">
        <v>37</v>
      </c>
      <c r="C29" s="8">
        <v>210</v>
      </c>
      <c r="D29" s="8" t="s">
        <v>349</v>
      </c>
      <c r="E29" s="8">
        <v>-1</v>
      </c>
      <c r="F29" s="8">
        <v>16</v>
      </c>
      <c r="G29" s="8" t="s">
        <v>620</v>
      </c>
      <c r="H29" s="20" t="s">
        <v>670</v>
      </c>
      <c r="I29" s="22">
        <f t="shared" si="0"/>
        <v>4030.3030303030305</v>
      </c>
      <c r="J29" s="19">
        <f t="shared" si="1"/>
        <v>3439.6551724137935</v>
      </c>
      <c r="K29" s="19">
        <f t="shared" si="2"/>
        <v>2642.3841059602651</v>
      </c>
      <c r="L29" s="19">
        <f t="shared" si="3"/>
        <v>1669.4560669456068</v>
      </c>
    </row>
    <row r="30" spans="1:12" ht="15" thickBot="1" x14ac:dyDescent="0.35">
      <c r="A30" s="13"/>
      <c r="B30" s="16" t="s">
        <v>38</v>
      </c>
      <c r="C30" s="15"/>
      <c r="D30" s="15" t="s">
        <v>324</v>
      </c>
      <c r="E30" s="15" t="s">
        <v>324</v>
      </c>
      <c r="F30" s="15"/>
      <c r="G30" s="15" t="s">
        <v>324</v>
      </c>
      <c r="H30" s="21" t="s">
        <v>324</v>
      </c>
      <c r="I30" s="22" t="e">
        <f t="shared" si="0"/>
        <v>#VALUE!</v>
      </c>
      <c r="J30" s="19" t="e">
        <f t="shared" si="1"/>
        <v>#VALUE!</v>
      </c>
      <c r="K30" s="19" t="e">
        <f t="shared" si="2"/>
        <v>#VALUE!</v>
      </c>
      <c r="L30" s="19" t="e">
        <f t="shared" si="3"/>
        <v>#VALUE!</v>
      </c>
    </row>
    <row r="31" spans="1:12" ht="15" thickBot="1" x14ac:dyDescent="0.35">
      <c r="A31" s="6">
        <v>305</v>
      </c>
      <c r="B31" s="9" t="s">
        <v>39</v>
      </c>
      <c r="C31" s="8">
        <v>187</v>
      </c>
      <c r="D31" s="8" t="s">
        <v>350</v>
      </c>
      <c r="E31" s="8" t="s">
        <v>792</v>
      </c>
      <c r="F31" s="8">
        <v>17</v>
      </c>
      <c r="G31" s="8" t="s">
        <v>621</v>
      </c>
      <c r="H31" s="20" t="s">
        <v>686</v>
      </c>
      <c r="I31" s="22">
        <f t="shared" si="0"/>
        <v>3914.705882352941</v>
      </c>
      <c r="J31" s="19">
        <f t="shared" si="1"/>
        <v>3412.8205128205132</v>
      </c>
      <c r="K31" s="19">
        <f t="shared" si="2"/>
        <v>2480.1242236024846</v>
      </c>
      <c r="L31" s="19">
        <f t="shared" si="3"/>
        <v>1663.75</v>
      </c>
    </row>
    <row r="32" spans="1:12" ht="15" thickBot="1" x14ac:dyDescent="0.35">
      <c r="A32" s="13">
        <v>319</v>
      </c>
      <c r="B32" s="14" t="s">
        <v>40</v>
      </c>
      <c r="C32" s="15">
        <v>86</v>
      </c>
      <c r="D32" s="15" t="s">
        <v>351</v>
      </c>
      <c r="E32" s="15">
        <v>-2</v>
      </c>
      <c r="F32" s="15">
        <v>16</v>
      </c>
      <c r="G32" s="15" t="s">
        <v>622</v>
      </c>
      <c r="H32" s="21" t="s">
        <v>661</v>
      </c>
      <c r="I32" s="22">
        <f t="shared" si="0"/>
        <v>1940.8163265306123</v>
      </c>
      <c r="J32" s="19">
        <f t="shared" si="1"/>
        <v>1639.6551724137933</v>
      </c>
      <c r="K32" s="19">
        <f t="shared" si="2"/>
        <v>1001.0526315789474</v>
      </c>
      <c r="L32" s="19">
        <f t="shared" si="3"/>
        <v>709.70149253731347</v>
      </c>
    </row>
    <row r="33" spans="1:12" ht="15" thickBot="1" x14ac:dyDescent="0.35">
      <c r="A33" s="6">
        <v>330</v>
      </c>
      <c r="B33" s="9" t="s">
        <v>41</v>
      </c>
      <c r="C33" s="8">
        <v>122</v>
      </c>
      <c r="D33" s="8" t="s">
        <v>352</v>
      </c>
      <c r="E33" s="8">
        <v>-3</v>
      </c>
      <c r="F33" s="8">
        <v>17</v>
      </c>
      <c r="G33" s="8" t="s">
        <v>623</v>
      </c>
      <c r="H33" s="20" t="s">
        <v>687</v>
      </c>
      <c r="I33" s="22">
        <f t="shared" si="0"/>
        <v>5110.3092783505153</v>
      </c>
      <c r="J33" s="19">
        <f t="shared" si="1"/>
        <v>4236.7521367521367</v>
      </c>
      <c r="K33" s="19">
        <f t="shared" si="2"/>
        <v>3540.7142857142858</v>
      </c>
      <c r="L33" s="19">
        <f t="shared" si="3"/>
        <v>2023.2653061224489</v>
      </c>
    </row>
    <row r="34" spans="1:12" ht="15" thickBot="1" x14ac:dyDescent="0.35">
      <c r="A34" s="13">
        <v>331</v>
      </c>
      <c r="B34" s="14" t="s">
        <v>42</v>
      </c>
      <c r="C34" s="15">
        <v>125</v>
      </c>
      <c r="D34" s="15" t="s">
        <v>353</v>
      </c>
      <c r="E34" s="15">
        <v>-1</v>
      </c>
      <c r="F34" s="15">
        <v>16</v>
      </c>
      <c r="G34" s="15" t="s">
        <v>604</v>
      </c>
      <c r="H34" s="21" t="s">
        <v>688</v>
      </c>
      <c r="I34" s="22">
        <f t="shared" si="0"/>
        <v>1814.1414141414141</v>
      </c>
      <c r="J34" s="19">
        <f t="shared" si="1"/>
        <v>1548.2758620689656</v>
      </c>
      <c r="K34" s="19">
        <f t="shared" si="2"/>
        <v>1069.047619047619</v>
      </c>
      <c r="L34" s="19">
        <f t="shared" si="3"/>
        <v>662.73062730627305</v>
      </c>
    </row>
    <row r="35" spans="1:12" ht="15" thickBot="1" x14ac:dyDescent="0.35">
      <c r="A35" s="6">
        <v>360</v>
      </c>
      <c r="B35" s="9" t="s">
        <v>43</v>
      </c>
      <c r="C35" s="8">
        <v>154</v>
      </c>
      <c r="D35" s="8" t="s">
        <v>354</v>
      </c>
      <c r="E35" s="8" t="s">
        <v>796</v>
      </c>
      <c r="F35" s="8">
        <v>18</v>
      </c>
      <c r="G35" s="8" t="s">
        <v>604</v>
      </c>
      <c r="H35" s="20" t="s">
        <v>661</v>
      </c>
      <c r="I35" s="22">
        <f t="shared" si="0"/>
        <v>1876.6990291262136</v>
      </c>
      <c r="J35" s="19">
        <f t="shared" si="1"/>
        <v>1638.1355932203392</v>
      </c>
      <c r="K35" s="19">
        <f t="shared" si="2"/>
        <v>1150.5952380952381</v>
      </c>
      <c r="L35" s="19">
        <f t="shared" si="3"/>
        <v>721.26865671641804</v>
      </c>
    </row>
    <row r="36" spans="1:12" ht="15" thickBot="1" x14ac:dyDescent="0.35">
      <c r="A36" s="13">
        <v>380</v>
      </c>
      <c r="B36" s="14" t="s">
        <v>44</v>
      </c>
      <c r="C36" s="15">
        <v>856</v>
      </c>
      <c r="D36" s="15" t="s">
        <v>355</v>
      </c>
      <c r="E36" s="15">
        <v>-1</v>
      </c>
      <c r="F36" s="15">
        <v>15</v>
      </c>
      <c r="G36" s="15" t="s">
        <v>605</v>
      </c>
      <c r="H36" s="21" t="s">
        <v>689</v>
      </c>
      <c r="I36" s="22">
        <f t="shared" si="0"/>
        <v>4807.0707070707067</v>
      </c>
      <c r="J36" s="19">
        <f t="shared" si="1"/>
        <v>4138.2608695652179</v>
      </c>
      <c r="K36" s="19">
        <f t="shared" si="2"/>
        <v>3282.0689655172414</v>
      </c>
      <c r="L36" s="19">
        <f t="shared" si="3"/>
        <v>1950.4098360655737</v>
      </c>
    </row>
    <row r="37" spans="1:12" ht="15" thickBot="1" x14ac:dyDescent="0.35">
      <c r="A37" s="6">
        <v>381</v>
      </c>
      <c r="B37" s="9" t="s">
        <v>45</v>
      </c>
      <c r="C37" s="8">
        <v>318</v>
      </c>
      <c r="D37" s="8" t="s">
        <v>356</v>
      </c>
      <c r="E37" s="8">
        <v>-1</v>
      </c>
      <c r="F37" s="8">
        <v>18</v>
      </c>
      <c r="G37" s="8" t="s">
        <v>618</v>
      </c>
      <c r="H37" s="20" t="s">
        <v>689</v>
      </c>
      <c r="I37" s="22">
        <f t="shared" si="0"/>
        <v>3495.9595959595958</v>
      </c>
      <c r="J37" s="19">
        <f t="shared" si="1"/>
        <v>2933.0508474576272</v>
      </c>
      <c r="K37" s="19">
        <f t="shared" si="2"/>
        <v>2110.3658536585363</v>
      </c>
      <c r="L37" s="19">
        <f t="shared" si="3"/>
        <v>1418.4426229508197</v>
      </c>
    </row>
    <row r="38" spans="1:12" ht="15" thickBot="1" x14ac:dyDescent="0.35">
      <c r="A38" s="13">
        <v>382</v>
      </c>
      <c r="B38" s="14" t="s">
        <v>46</v>
      </c>
      <c r="C38" s="15">
        <v>141</v>
      </c>
      <c r="D38" s="15" t="s">
        <v>357</v>
      </c>
      <c r="E38" s="15" t="s">
        <v>793</v>
      </c>
      <c r="F38" s="15">
        <v>22</v>
      </c>
      <c r="G38" s="15" t="s">
        <v>611</v>
      </c>
      <c r="H38" s="21" t="s">
        <v>665</v>
      </c>
      <c r="I38" s="22">
        <f t="shared" si="0"/>
        <v>2811.8811881188117</v>
      </c>
      <c r="J38" s="19">
        <f t="shared" si="1"/>
        <v>2327.8688524590166</v>
      </c>
      <c r="K38" s="19">
        <f t="shared" si="2"/>
        <v>1808.9171974522294</v>
      </c>
      <c r="L38" s="19">
        <f t="shared" si="3"/>
        <v>1109.375</v>
      </c>
    </row>
    <row r="39" spans="1:12" ht="28.2" thickBot="1" x14ac:dyDescent="0.35">
      <c r="A39" s="6"/>
      <c r="B39" s="7" t="s">
        <v>47</v>
      </c>
      <c r="C39" s="8"/>
      <c r="D39" s="8" t="s">
        <v>324</v>
      </c>
      <c r="E39" s="8" t="s">
        <v>324</v>
      </c>
      <c r="F39" s="8"/>
      <c r="G39" s="8" t="s">
        <v>324</v>
      </c>
      <c r="H39" s="20" t="s">
        <v>324</v>
      </c>
      <c r="I39" s="22" t="e">
        <f t="shared" si="0"/>
        <v>#VALUE!</v>
      </c>
      <c r="J39" s="19" t="e">
        <f t="shared" si="1"/>
        <v>#VALUE!</v>
      </c>
      <c r="K39" s="19" t="e">
        <f t="shared" si="2"/>
        <v>#VALUE!</v>
      </c>
      <c r="L39" s="19" t="e">
        <f t="shared" si="3"/>
        <v>#VALUE!</v>
      </c>
    </row>
    <row r="40" spans="1:12" ht="15" thickBot="1" x14ac:dyDescent="0.35">
      <c r="A40" s="13">
        <v>428</v>
      </c>
      <c r="B40" s="14" t="s">
        <v>48</v>
      </c>
      <c r="C40" s="15">
        <v>66</v>
      </c>
      <c r="D40" s="15" t="s">
        <v>358</v>
      </c>
      <c r="E40" s="15" t="s">
        <v>793</v>
      </c>
      <c r="F40" s="15">
        <v>5</v>
      </c>
      <c r="G40" s="15" t="s">
        <v>624</v>
      </c>
      <c r="H40" s="21" t="s">
        <v>690</v>
      </c>
      <c r="I40" s="22">
        <f t="shared" si="0"/>
        <v>1577.2277227722773</v>
      </c>
      <c r="J40" s="19">
        <f t="shared" si="1"/>
        <v>1517.1428571428571</v>
      </c>
      <c r="K40" s="19">
        <f t="shared" si="2"/>
        <v>953.8922155688623</v>
      </c>
      <c r="L40" s="19">
        <f t="shared" si="3"/>
        <v>615.05791505791512</v>
      </c>
    </row>
    <row r="41" spans="1:12" ht="15" thickBot="1" x14ac:dyDescent="0.35">
      <c r="A41" s="6">
        <v>461</v>
      </c>
      <c r="B41" s="9" t="s">
        <v>49</v>
      </c>
      <c r="C41" s="8">
        <v>81</v>
      </c>
      <c r="D41" s="8" t="s">
        <v>359</v>
      </c>
      <c r="E41" s="8" t="s">
        <v>799</v>
      </c>
      <c r="F41" s="8">
        <v>22</v>
      </c>
      <c r="G41" s="8" t="s">
        <v>625</v>
      </c>
      <c r="H41" s="20" t="s">
        <v>666</v>
      </c>
      <c r="I41" s="22">
        <f t="shared" si="0"/>
        <v>3344</v>
      </c>
      <c r="J41" s="19">
        <f t="shared" si="1"/>
        <v>2740.9836065573772</v>
      </c>
      <c r="K41" s="19">
        <f t="shared" si="2"/>
        <v>2064.1975308641972</v>
      </c>
      <c r="L41" s="19">
        <f t="shared" si="3"/>
        <v>1441.3793103448274</v>
      </c>
    </row>
    <row r="42" spans="1:12" ht="15" thickBot="1" x14ac:dyDescent="0.35">
      <c r="A42" s="13">
        <v>480</v>
      </c>
      <c r="B42" s="14" t="s">
        <v>50</v>
      </c>
      <c r="C42" s="15">
        <v>290</v>
      </c>
      <c r="D42" s="15" t="s">
        <v>360</v>
      </c>
      <c r="E42" s="15" t="s">
        <v>799</v>
      </c>
      <c r="F42" s="15">
        <v>15</v>
      </c>
      <c r="G42" s="15" t="s">
        <v>624</v>
      </c>
      <c r="H42" s="21" t="s">
        <v>691</v>
      </c>
      <c r="I42" s="22">
        <f t="shared" si="0"/>
        <v>3335</v>
      </c>
      <c r="J42" s="19">
        <f t="shared" si="1"/>
        <v>2900</v>
      </c>
      <c r="K42" s="19">
        <f t="shared" si="2"/>
        <v>1997.0059880239521</v>
      </c>
      <c r="L42" s="19">
        <f t="shared" si="3"/>
        <v>1312.992125984252</v>
      </c>
    </row>
    <row r="43" spans="1:12" ht="15" thickBot="1" x14ac:dyDescent="0.35">
      <c r="A43" s="6">
        <v>481</v>
      </c>
      <c r="B43" s="9" t="s">
        <v>51</v>
      </c>
      <c r="C43" s="8">
        <v>67</v>
      </c>
      <c r="D43" s="8" t="s">
        <v>361</v>
      </c>
      <c r="E43" s="8">
        <v>-1</v>
      </c>
      <c r="F43" s="8">
        <v>14</v>
      </c>
      <c r="G43" s="8" t="s">
        <v>626</v>
      </c>
      <c r="H43" s="20" t="s">
        <v>692</v>
      </c>
      <c r="I43" s="22">
        <f t="shared" si="0"/>
        <v>2538.3838383838383</v>
      </c>
      <c r="J43" s="19">
        <f t="shared" si="1"/>
        <v>2204.3859649122805</v>
      </c>
      <c r="K43" s="19">
        <f t="shared" si="2"/>
        <v>1478.2352941176471</v>
      </c>
      <c r="L43" s="19">
        <f t="shared" si="3"/>
        <v>1126.9058295964126</v>
      </c>
    </row>
    <row r="44" spans="1:12" ht="15" thickBot="1" x14ac:dyDescent="0.35">
      <c r="A44" s="13">
        <v>482</v>
      </c>
      <c r="B44" s="14" t="s">
        <v>52</v>
      </c>
      <c r="C44" s="15">
        <v>114</v>
      </c>
      <c r="D44" s="15" t="s">
        <v>362</v>
      </c>
      <c r="E44" s="15" t="s">
        <v>792</v>
      </c>
      <c r="F44" s="15">
        <v>28</v>
      </c>
      <c r="G44" s="15" t="s">
        <v>624</v>
      </c>
      <c r="H44" s="21" t="s">
        <v>693</v>
      </c>
      <c r="I44" s="22">
        <f t="shared" si="0"/>
        <v>1923.5294117647059</v>
      </c>
      <c r="J44" s="19">
        <f t="shared" si="1"/>
        <v>1532.8125</v>
      </c>
      <c r="K44" s="19">
        <f t="shared" si="2"/>
        <v>1174.8502994011976</v>
      </c>
      <c r="L44" s="19">
        <f t="shared" si="3"/>
        <v>883.78378378378386</v>
      </c>
    </row>
    <row r="45" spans="1:12" ht="15" thickBot="1" x14ac:dyDescent="0.35">
      <c r="A45" s="6">
        <v>483</v>
      </c>
      <c r="B45" s="9" t="s">
        <v>53</v>
      </c>
      <c r="C45" s="8">
        <v>176</v>
      </c>
      <c r="D45" s="8" t="s">
        <v>363</v>
      </c>
      <c r="E45" s="8">
        <v>-2</v>
      </c>
      <c r="F45" s="8">
        <v>19</v>
      </c>
      <c r="G45" s="8" t="s">
        <v>617</v>
      </c>
      <c r="H45" s="20" t="s">
        <v>676</v>
      </c>
      <c r="I45" s="22">
        <f t="shared" si="0"/>
        <v>2582.6530612244896</v>
      </c>
      <c r="J45" s="19">
        <f t="shared" si="1"/>
        <v>2126.8907563025209</v>
      </c>
      <c r="K45" s="19">
        <f t="shared" si="2"/>
        <v>1497.6331360946747</v>
      </c>
      <c r="L45" s="19">
        <f t="shared" si="3"/>
        <v>947.94007490636704</v>
      </c>
    </row>
    <row r="46" spans="1:12" ht="15" thickBot="1" x14ac:dyDescent="0.35">
      <c r="A46" s="13">
        <v>484</v>
      </c>
      <c r="B46" s="14" t="s">
        <v>54</v>
      </c>
      <c r="C46" s="15">
        <v>520</v>
      </c>
      <c r="D46" s="15" t="s">
        <v>364</v>
      </c>
      <c r="E46" s="15" t="s">
        <v>799</v>
      </c>
      <c r="F46" s="15">
        <v>12</v>
      </c>
      <c r="G46" s="15" t="s">
        <v>625</v>
      </c>
      <c r="H46" s="21" t="s">
        <v>665</v>
      </c>
      <c r="I46" s="22">
        <f t="shared" si="0"/>
        <v>3291</v>
      </c>
      <c r="J46" s="19">
        <f t="shared" si="1"/>
        <v>2938.3928571428569</v>
      </c>
      <c r="K46" s="19">
        <f t="shared" si="2"/>
        <v>2031.4814814814813</v>
      </c>
      <c r="L46" s="19">
        <f t="shared" si="3"/>
        <v>1285.546875</v>
      </c>
    </row>
    <row r="47" spans="1:12" ht="15" thickBot="1" x14ac:dyDescent="0.35">
      <c r="A47" s="6">
        <v>486</v>
      </c>
      <c r="B47" s="9" t="s">
        <v>55</v>
      </c>
      <c r="C47" s="8">
        <v>293</v>
      </c>
      <c r="D47" s="8" t="s">
        <v>350</v>
      </c>
      <c r="E47" s="8" t="s">
        <v>793</v>
      </c>
      <c r="F47" s="8">
        <v>23</v>
      </c>
      <c r="G47" s="8" t="s">
        <v>627</v>
      </c>
      <c r="H47" s="20" t="s">
        <v>694</v>
      </c>
      <c r="I47" s="22">
        <f t="shared" si="0"/>
        <v>3953.4653465346532</v>
      </c>
      <c r="J47" s="19">
        <f t="shared" si="1"/>
        <v>3246.3414634146343</v>
      </c>
      <c r="K47" s="19">
        <f t="shared" si="2"/>
        <v>2294.8275862068967</v>
      </c>
      <c r="L47" s="19">
        <f t="shared" si="3"/>
        <v>1547.674418604651</v>
      </c>
    </row>
    <row r="48" spans="1:12" ht="15" thickBot="1" x14ac:dyDescent="0.35">
      <c r="A48" s="13">
        <v>488</v>
      </c>
      <c r="B48" s="14" t="s">
        <v>56</v>
      </c>
      <c r="C48" s="15">
        <v>141</v>
      </c>
      <c r="D48" s="15" t="s">
        <v>365</v>
      </c>
      <c r="E48" s="15">
        <v>-3</v>
      </c>
      <c r="F48" s="15">
        <v>23</v>
      </c>
      <c r="G48" s="15" t="s">
        <v>616</v>
      </c>
      <c r="H48" s="21" t="s">
        <v>664</v>
      </c>
      <c r="I48" s="22">
        <f t="shared" si="0"/>
        <v>4554.6391752577319</v>
      </c>
      <c r="J48" s="19">
        <f t="shared" si="1"/>
        <v>3591.8699186991871</v>
      </c>
      <c r="K48" s="19">
        <f t="shared" si="2"/>
        <v>2710.4294478527609</v>
      </c>
      <c r="L48" s="19">
        <f t="shared" si="3"/>
        <v>1673.4848484848487</v>
      </c>
    </row>
    <row r="49" spans="1:12" ht="28.2" thickBot="1" x14ac:dyDescent="0.35">
      <c r="A49" s="6"/>
      <c r="B49" s="7" t="s">
        <v>57</v>
      </c>
      <c r="C49" s="8"/>
      <c r="D49" s="8" t="s">
        <v>324</v>
      </c>
      <c r="E49" s="8" t="s">
        <v>324</v>
      </c>
      <c r="F49" s="8"/>
      <c r="G49" s="8" t="s">
        <v>324</v>
      </c>
      <c r="H49" s="20" t="s">
        <v>324</v>
      </c>
      <c r="I49" s="22" t="e">
        <f t="shared" si="0"/>
        <v>#VALUE!</v>
      </c>
      <c r="J49" s="19" t="e">
        <f t="shared" si="1"/>
        <v>#VALUE!</v>
      </c>
      <c r="K49" s="19" t="e">
        <f t="shared" si="2"/>
        <v>#VALUE!</v>
      </c>
      <c r="L49" s="19" t="e">
        <f t="shared" si="3"/>
        <v>#VALUE!</v>
      </c>
    </row>
    <row r="50" spans="1:12" ht="15" thickBot="1" x14ac:dyDescent="0.35">
      <c r="A50" s="13">
        <v>509</v>
      </c>
      <c r="B50" s="14" t="s">
        <v>58</v>
      </c>
      <c r="C50" s="15">
        <v>42</v>
      </c>
      <c r="D50" s="15" t="s">
        <v>366</v>
      </c>
      <c r="E50" s="15">
        <v>-3</v>
      </c>
      <c r="F50" s="15">
        <v>19</v>
      </c>
      <c r="G50" s="15" t="s">
        <v>602</v>
      </c>
      <c r="H50" s="21" t="s">
        <v>695</v>
      </c>
      <c r="I50" s="22">
        <f t="shared" si="0"/>
        <v>1455.6701030927836</v>
      </c>
      <c r="J50" s="19">
        <f t="shared" si="1"/>
        <v>1186.5546218487395</v>
      </c>
      <c r="K50" s="19">
        <f t="shared" si="2"/>
        <v>816.18497109826592</v>
      </c>
      <c r="L50" s="19">
        <f t="shared" si="3"/>
        <v>456.95792880258904</v>
      </c>
    </row>
    <row r="51" spans="1:12" ht="15" thickBot="1" x14ac:dyDescent="0.35">
      <c r="A51" s="6">
        <v>512</v>
      </c>
      <c r="B51" s="9" t="s">
        <v>59</v>
      </c>
      <c r="C51" s="8">
        <v>28</v>
      </c>
      <c r="D51" s="8" t="s">
        <v>367</v>
      </c>
      <c r="E51" s="8" t="s">
        <v>800</v>
      </c>
      <c r="F51" s="8">
        <v>46</v>
      </c>
      <c r="G51" s="8" t="s">
        <v>670</v>
      </c>
      <c r="H51" s="20" t="s">
        <v>696</v>
      </c>
      <c r="I51" s="22">
        <f t="shared" si="0"/>
        <v>1646.8253968253969</v>
      </c>
      <c r="J51" s="19">
        <f t="shared" si="1"/>
        <v>1421.2328767123288</v>
      </c>
      <c r="K51" s="19">
        <f t="shared" si="2"/>
        <v>868.20083682008385</v>
      </c>
      <c r="L51" s="19">
        <f t="shared" si="3"/>
        <v>621.2574850299402</v>
      </c>
    </row>
    <row r="52" spans="1:12" ht="15" thickBot="1" x14ac:dyDescent="0.35">
      <c r="A52" s="13">
        <v>513</v>
      </c>
      <c r="B52" s="14" t="s">
        <v>60</v>
      </c>
      <c r="C52" s="15">
        <v>70</v>
      </c>
      <c r="D52" s="15" t="s">
        <v>368</v>
      </c>
      <c r="E52" s="15" t="s">
        <v>801</v>
      </c>
      <c r="F52" s="15">
        <v>39</v>
      </c>
      <c r="G52" s="15" t="s">
        <v>628</v>
      </c>
      <c r="H52" s="21" t="s">
        <v>674</v>
      </c>
      <c r="I52" s="22">
        <f t="shared" si="0"/>
        <v>2213.04347826087</v>
      </c>
      <c r="J52" s="19">
        <f t="shared" si="1"/>
        <v>1830.935251798561</v>
      </c>
      <c r="K52" s="19">
        <f t="shared" si="2"/>
        <v>1375.6756756756756</v>
      </c>
      <c r="L52" s="19">
        <f t="shared" si="3"/>
        <v>886.75958188153311</v>
      </c>
    </row>
    <row r="53" spans="1:12" ht="15" thickBot="1" x14ac:dyDescent="0.35">
      <c r="A53" s="6">
        <v>560</v>
      </c>
      <c r="B53" s="9" t="s">
        <v>61</v>
      </c>
      <c r="C53" s="8">
        <v>30</v>
      </c>
      <c r="D53" s="8" t="s">
        <v>369</v>
      </c>
      <c r="E53" s="8" t="s">
        <v>802</v>
      </c>
      <c r="F53" s="8">
        <v>23</v>
      </c>
      <c r="G53" s="8" t="s">
        <v>629</v>
      </c>
      <c r="H53" s="20" t="s">
        <v>697</v>
      </c>
      <c r="I53" s="22">
        <f t="shared" si="0"/>
        <v>1961.682242990654</v>
      </c>
      <c r="J53" s="19">
        <f t="shared" si="1"/>
        <v>1706.5040650406504</v>
      </c>
      <c r="K53" s="19">
        <f t="shared" si="2"/>
        <v>1065.4822335025381</v>
      </c>
      <c r="L53" s="19">
        <f t="shared" si="3"/>
        <v>592.93785310734461</v>
      </c>
    </row>
    <row r="54" spans="1:12" ht="15" thickBot="1" x14ac:dyDescent="0.35">
      <c r="A54" s="13">
        <v>561</v>
      </c>
      <c r="B54" s="14" t="s">
        <v>62</v>
      </c>
      <c r="C54" s="15">
        <v>96</v>
      </c>
      <c r="D54" s="15" t="s">
        <v>370</v>
      </c>
      <c r="E54" s="15" t="s">
        <v>798</v>
      </c>
      <c r="F54" s="15">
        <v>19</v>
      </c>
      <c r="G54" s="15" t="s">
        <v>599</v>
      </c>
      <c r="H54" s="21" t="s">
        <v>698</v>
      </c>
      <c r="I54" s="22">
        <f t="shared" si="0"/>
        <v>2095.238095238095</v>
      </c>
      <c r="J54" s="19">
        <f t="shared" si="1"/>
        <v>1848.7394957983195</v>
      </c>
      <c r="K54" s="19">
        <f t="shared" si="2"/>
        <v>1229.0502793296089</v>
      </c>
      <c r="L54" s="19">
        <f t="shared" si="3"/>
        <v>836.50190114068448</v>
      </c>
    </row>
    <row r="55" spans="1:12" ht="15" thickBot="1" x14ac:dyDescent="0.35">
      <c r="A55" s="6">
        <v>562</v>
      </c>
      <c r="B55" s="9" t="s">
        <v>63</v>
      </c>
      <c r="C55" s="8">
        <v>107</v>
      </c>
      <c r="D55" s="8" t="s">
        <v>371</v>
      </c>
      <c r="E55" s="8">
        <v>-3</v>
      </c>
      <c r="F55" s="8">
        <v>11</v>
      </c>
      <c r="G55" s="8" t="s">
        <v>622</v>
      </c>
      <c r="H55" s="20" t="s">
        <v>699</v>
      </c>
      <c r="I55" s="22">
        <f t="shared" si="0"/>
        <v>2044.3298969072166</v>
      </c>
      <c r="J55" s="19">
        <f t="shared" si="1"/>
        <v>1786.4864864864862</v>
      </c>
      <c r="K55" s="19">
        <f t="shared" si="2"/>
        <v>1043.6842105263158</v>
      </c>
      <c r="L55" s="19">
        <f t="shared" si="3"/>
        <v>686.15916955017303</v>
      </c>
    </row>
    <row r="56" spans="1:12" ht="15" thickBot="1" x14ac:dyDescent="0.35">
      <c r="A56" s="13">
        <v>563</v>
      </c>
      <c r="B56" s="14" t="s">
        <v>64</v>
      </c>
      <c r="C56" s="15">
        <v>69</v>
      </c>
      <c r="D56" s="15" t="s">
        <v>372</v>
      </c>
      <c r="E56" s="15" t="s">
        <v>803</v>
      </c>
      <c r="F56" s="15">
        <v>37</v>
      </c>
      <c r="G56" s="15" t="s">
        <v>604</v>
      </c>
      <c r="H56" s="21" t="s">
        <v>700</v>
      </c>
      <c r="I56" s="22">
        <f t="shared" si="0"/>
        <v>1606.3063063063062</v>
      </c>
      <c r="J56" s="19">
        <f t="shared" si="1"/>
        <v>1301.4598540145985</v>
      </c>
      <c r="K56" s="19">
        <f t="shared" si="2"/>
        <v>1061.3095238095236</v>
      </c>
      <c r="L56" s="19">
        <f t="shared" si="3"/>
        <v>683.14176245210717</v>
      </c>
    </row>
    <row r="57" spans="1:12" ht="15" thickBot="1" x14ac:dyDescent="0.35">
      <c r="A57" s="6">
        <v>580</v>
      </c>
      <c r="B57" s="9" t="s">
        <v>65</v>
      </c>
      <c r="C57" s="8">
        <v>614</v>
      </c>
      <c r="D57" s="8" t="s">
        <v>373</v>
      </c>
      <c r="E57" s="8" t="s">
        <v>792</v>
      </c>
      <c r="F57" s="8">
        <v>14</v>
      </c>
      <c r="G57" s="8" t="s">
        <v>611</v>
      </c>
      <c r="H57" s="20" t="s">
        <v>691</v>
      </c>
      <c r="I57" s="22">
        <f t="shared" si="0"/>
        <v>4334.3137254901958</v>
      </c>
      <c r="J57" s="19">
        <f t="shared" si="1"/>
        <v>3878.0701754385959</v>
      </c>
      <c r="K57" s="19">
        <f t="shared" si="2"/>
        <v>2815.9235668789811</v>
      </c>
      <c r="L57" s="19">
        <f t="shared" si="3"/>
        <v>1740.5511811023621</v>
      </c>
    </row>
    <row r="58" spans="1:12" ht="15" thickBot="1" x14ac:dyDescent="0.35">
      <c r="A58" s="13">
        <v>581</v>
      </c>
      <c r="B58" s="14" t="s">
        <v>66</v>
      </c>
      <c r="C58" s="15">
        <v>627</v>
      </c>
      <c r="D58" s="15" t="s">
        <v>374</v>
      </c>
      <c r="E58" s="15" t="s">
        <v>799</v>
      </c>
      <c r="F58" s="15">
        <v>11</v>
      </c>
      <c r="G58" s="15" t="s">
        <v>621</v>
      </c>
      <c r="H58" s="21" t="s">
        <v>701</v>
      </c>
      <c r="I58" s="22">
        <f t="shared" si="0"/>
        <v>3751</v>
      </c>
      <c r="J58" s="19">
        <f t="shared" si="1"/>
        <v>3379.2792792792789</v>
      </c>
      <c r="K58" s="19">
        <f t="shared" si="2"/>
        <v>2329.8136645962736</v>
      </c>
      <c r="L58" s="19">
        <f t="shared" si="3"/>
        <v>1316.140350877193</v>
      </c>
    </row>
    <row r="59" spans="1:12" ht="15" thickBot="1" x14ac:dyDescent="0.35">
      <c r="A59" s="6">
        <v>582</v>
      </c>
      <c r="B59" s="9" t="s">
        <v>67</v>
      </c>
      <c r="C59" s="8">
        <v>111</v>
      </c>
      <c r="D59" s="8" t="s">
        <v>375</v>
      </c>
      <c r="E59" s="8">
        <v>-2</v>
      </c>
      <c r="F59" s="8">
        <v>7</v>
      </c>
      <c r="G59" s="8" t="s">
        <v>630</v>
      </c>
      <c r="H59" s="20" t="s">
        <v>668</v>
      </c>
      <c r="I59" s="22">
        <f t="shared" si="0"/>
        <v>3077.5510204081634</v>
      </c>
      <c r="J59" s="19">
        <f t="shared" si="1"/>
        <v>2818.6915887850464</v>
      </c>
      <c r="K59" s="19">
        <f t="shared" si="2"/>
        <v>1958.4415584415583</v>
      </c>
      <c r="L59" s="19">
        <f t="shared" si="3"/>
        <v>1117.037037037037</v>
      </c>
    </row>
    <row r="60" spans="1:12" ht="15" thickBot="1" x14ac:dyDescent="0.35">
      <c r="A60" s="13">
        <v>583</v>
      </c>
      <c r="B60" s="14" t="s">
        <v>68</v>
      </c>
      <c r="C60" s="15">
        <v>238</v>
      </c>
      <c r="D60" s="15" t="s">
        <v>361</v>
      </c>
      <c r="E60" s="15" t="s">
        <v>796</v>
      </c>
      <c r="F60" s="15">
        <v>11</v>
      </c>
      <c r="G60" s="15" t="s">
        <v>631</v>
      </c>
      <c r="H60" s="21" t="s">
        <v>702</v>
      </c>
      <c r="I60" s="22">
        <f t="shared" si="0"/>
        <v>2439.8058252427186</v>
      </c>
      <c r="J60" s="19">
        <f t="shared" si="1"/>
        <v>2263.9639639639636</v>
      </c>
      <c r="K60" s="19">
        <f t="shared" si="2"/>
        <v>1419.774011299435</v>
      </c>
      <c r="L60" s="19">
        <f t="shared" si="3"/>
        <v>910.50724637681162</v>
      </c>
    </row>
    <row r="61" spans="1:12" ht="15" thickBot="1" x14ac:dyDescent="0.35">
      <c r="A61" s="6">
        <v>584</v>
      </c>
      <c r="B61" s="9" t="s">
        <v>69</v>
      </c>
      <c r="C61" s="8">
        <v>63</v>
      </c>
      <c r="D61" s="8" t="s">
        <v>376</v>
      </c>
      <c r="E61" s="8" t="s">
        <v>796</v>
      </c>
      <c r="F61" s="8">
        <v>31</v>
      </c>
      <c r="G61" s="8" t="s">
        <v>629</v>
      </c>
      <c r="H61" s="20" t="s">
        <v>703</v>
      </c>
      <c r="I61" s="22">
        <f t="shared" si="0"/>
        <v>3108.7378640776697</v>
      </c>
      <c r="J61" s="19">
        <f t="shared" si="1"/>
        <v>2444.2748091603053</v>
      </c>
      <c r="K61" s="19">
        <f t="shared" si="2"/>
        <v>1625.3807106598986</v>
      </c>
      <c r="L61" s="19">
        <f t="shared" si="3"/>
        <v>1049.8360655737706</v>
      </c>
    </row>
    <row r="62" spans="1:12" ht="15" thickBot="1" x14ac:dyDescent="0.35">
      <c r="A62" s="13">
        <v>586</v>
      </c>
      <c r="B62" s="14" t="s">
        <v>70</v>
      </c>
      <c r="C62" s="15">
        <v>198</v>
      </c>
      <c r="D62" s="15" t="s">
        <v>377</v>
      </c>
      <c r="E62" s="15" t="s">
        <v>796</v>
      </c>
      <c r="F62" s="15">
        <v>20</v>
      </c>
      <c r="G62" s="15" t="s">
        <v>631</v>
      </c>
      <c r="H62" s="21" t="s">
        <v>674</v>
      </c>
      <c r="I62" s="22">
        <f t="shared" si="0"/>
        <v>2729.1262135922329</v>
      </c>
      <c r="J62" s="19">
        <f t="shared" si="1"/>
        <v>2342.5</v>
      </c>
      <c r="K62" s="19">
        <f t="shared" si="2"/>
        <v>1588.1355932203389</v>
      </c>
      <c r="L62" s="19">
        <f t="shared" si="3"/>
        <v>979.44250871080135</v>
      </c>
    </row>
    <row r="63" spans="1:12" ht="15" thickBot="1" x14ac:dyDescent="0.35">
      <c r="A63" s="6"/>
      <c r="B63" s="7" t="s">
        <v>71</v>
      </c>
      <c r="C63" s="8"/>
      <c r="D63" s="8" t="s">
        <v>324</v>
      </c>
      <c r="E63" s="8" t="s">
        <v>324</v>
      </c>
      <c r="F63" s="8"/>
      <c r="G63" s="8" t="s">
        <v>324</v>
      </c>
      <c r="H63" s="20" t="s">
        <v>324</v>
      </c>
      <c r="I63" s="22" t="e">
        <f t="shared" si="0"/>
        <v>#VALUE!</v>
      </c>
      <c r="J63" s="19" t="e">
        <f t="shared" si="1"/>
        <v>#VALUE!</v>
      </c>
      <c r="K63" s="19" t="e">
        <f t="shared" si="2"/>
        <v>#VALUE!</v>
      </c>
      <c r="L63" s="19" t="e">
        <f t="shared" si="3"/>
        <v>#VALUE!</v>
      </c>
    </row>
    <row r="64" spans="1:12" ht="15" thickBot="1" x14ac:dyDescent="0.35">
      <c r="A64" s="13">
        <v>604</v>
      </c>
      <c r="B64" s="14" t="s">
        <v>72</v>
      </c>
      <c r="C64" s="15">
        <v>44</v>
      </c>
      <c r="D64" s="15" t="s">
        <v>378</v>
      </c>
      <c r="E64" s="15" t="s">
        <v>796</v>
      </c>
      <c r="F64" s="15">
        <v>23</v>
      </c>
      <c r="G64" s="15" t="s">
        <v>693</v>
      </c>
      <c r="H64" s="21" t="s">
        <v>704</v>
      </c>
      <c r="I64" s="22">
        <f t="shared" si="0"/>
        <v>1890.2912621359224</v>
      </c>
      <c r="J64" s="19">
        <f t="shared" si="1"/>
        <v>1582.9268292682927</v>
      </c>
      <c r="K64" s="19">
        <f t="shared" si="2"/>
        <v>877.02702702702709</v>
      </c>
      <c r="L64" s="19">
        <f t="shared" si="3"/>
        <v>604.65838509316768</v>
      </c>
    </row>
    <row r="65" spans="1:12" ht="15" thickBot="1" x14ac:dyDescent="0.35">
      <c r="A65" s="6">
        <v>617</v>
      </c>
      <c r="B65" s="9" t="s">
        <v>73</v>
      </c>
      <c r="C65" s="8">
        <v>52</v>
      </c>
      <c r="D65" s="8" t="s">
        <v>379</v>
      </c>
      <c r="E65" s="8">
        <v>-7</v>
      </c>
      <c r="F65" s="8">
        <v>18</v>
      </c>
      <c r="G65" s="8" t="s">
        <v>632</v>
      </c>
      <c r="H65" s="20" t="s">
        <v>705</v>
      </c>
      <c r="I65" s="22">
        <f t="shared" si="0"/>
        <v>1611.8279569892475</v>
      </c>
      <c r="J65" s="19">
        <f t="shared" si="1"/>
        <v>1270.3389830508474</v>
      </c>
      <c r="K65" s="19">
        <f t="shared" si="2"/>
        <v>942.76729559748435</v>
      </c>
      <c r="L65" s="19">
        <f t="shared" si="3"/>
        <v>749.5</v>
      </c>
    </row>
    <row r="66" spans="1:12" ht="15" thickBot="1" x14ac:dyDescent="0.35">
      <c r="A66" s="13">
        <v>642</v>
      </c>
      <c r="B66" s="14" t="s">
        <v>74</v>
      </c>
      <c r="C66" s="15">
        <v>66</v>
      </c>
      <c r="D66" s="15" t="s">
        <v>380</v>
      </c>
      <c r="E66" s="15" t="s">
        <v>804</v>
      </c>
      <c r="F66" s="15">
        <v>20</v>
      </c>
      <c r="G66" s="15" t="s">
        <v>633</v>
      </c>
      <c r="H66" s="21" t="s">
        <v>706</v>
      </c>
      <c r="I66" s="22">
        <f t="shared" si="0"/>
        <v>1924.7706422018348</v>
      </c>
      <c r="J66" s="19">
        <f t="shared" si="1"/>
        <v>1748.3333333333335</v>
      </c>
      <c r="K66" s="19">
        <f t="shared" si="2"/>
        <v>1059.5959595959596</v>
      </c>
      <c r="L66" s="19">
        <f t="shared" si="3"/>
        <v>653.58255451713399</v>
      </c>
    </row>
    <row r="67" spans="1:12" ht="15" thickBot="1" x14ac:dyDescent="0.35">
      <c r="A67" s="6">
        <v>643</v>
      </c>
      <c r="B67" s="9" t="s">
        <v>75</v>
      </c>
      <c r="C67" s="8">
        <v>129</v>
      </c>
      <c r="D67" s="8" t="s">
        <v>360</v>
      </c>
      <c r="E67" s="8" t="s">
        <v>793</v>
      </c>
      <c r="F67" s="8">
        <v>19</v>
      </c>
      <c r="G67" s="8" t="s">
        <v>621</v>
      </c>
      <c r="H67" s="20" t="s">
        <v>707</v>
      </c>
      <c r="I67" s="22">
        <f t="shared" ref="I67:I130" si="4" xml:space="preserve"> D67 / (1 + E67/100)</f>
        <v>3301.9801980198022</v>
      </c>
      <c r="J67" s="19">
        <f t="shared" ref="J67:J130" si="5" xml:space="preserve"> D67 / (1 + F67/100)</f>
        <v>2802.5210084033615</v>
      </c>
      <c r="K67" s="19">
        <f t="shared" ref="K67:K130" si="6" xml:space="preserve"> D67 / (1 + G67/100)</f>
        <v>2071.4285714285716</v>
      </c>
      <c r="L67" s="19">
        <f t="shared" ref="L67:L130" si="7" xml:space="preserve"> D67 / (1 + H67/100)</f>
        <v>1068.9102564102564</v>
      </c>
    </row>
    <row r="68" spans="1:12" ht="15" thickBot="1" x14ac:dyDescent="0.35">
      <c r="A68" s="13">
        <v>662</v>
      </c>
      <c r="B68" s="14" t="s">
        <v>76</v>
      </c>
      <c r="C68" s="15">
        <v>147</v>
      </c>
      <c r="D68" s="15" t="s">
        <v>381</v>
      </c>
      <c r="E68" s="15" t="s">
        <v>799</v>
      </c>
      <c r="F68" s="15">
        <v>12</v>
      </c>
      <c r="G68" s="15" t="s">
        <v>612</v>
      </c>
      <c r="H68" s="21" t="s">
        <v>599</v>
      </c>
      <c r="I68" s="22">
        <f t="shared" si="4"/>
        <v>1426</v>
      </c>
      <c r="J68" s="19">
        <f t="shared" si="5"/>
        <v>1273.2142857142856</v>
      </c>
      <c r="K68" s="19">
        <f t="shared" si="6"/>
        <v>950.66666666666663</v>
      </c>
      <c r="L68" s="19">
        <f t="shared" si="7"/>
        <v>796.64804469273736</v>
      </c>
    </row>
    <row r="69" spans="1:12" ht="15" thickBot="1" x14ac:dyDescent="0.35">
      <c r="A69" s="6">
        <v>665</v>
      </c>
      <c r="B69" s="9" t="s">
        <v>77</v>
      </c>
      <c r="C69" s="8">
        <v>104</v>
      </c>
      <c r="D69" s="8" t="s">
        <v>382</v>
      </c>
      <c r="E69" s="8" t="s">
        <v>794</v>
      </c>
      <c r="F69" s="8">
        <v>21</v>
      </c>
      <c r="G69" s="8" t="s">
        <v>634</v>
      </c>
      <c r="H69" s="20" t="s">
        <v>708</v>
      </c>
      <c r="I69" s="22">
        <f t="shared" si="4"/>
        <v>2200.9615384615386</v>
      </c>
      <c r="J69" s="19">
        <f t="shared" si="5"/>
        <v>1891.7355371900826</v>
      </c>
      <c r="K69" s="19">
        <f t="shared" si="6"/>
        <v>1271.6666666666667</v>
      </c>
      <c r="L69" s="19">
        <f t="shared" si="7"/>
        <v>775.93220338983042</v>
      </c>
    </row>
    <row r="70" spans="1:12" ht="15" thickBot="1" x14ac:dyDescent="0.35">
      <c r="A70" s="13">
        <v>680</v>
      </c>
      <c r="B70" s="14" t="s">
        <v>78</v>
      </c>
      <c r="C70" s="15">
        <v>673</v>
      </c>
      <c r="D70" s="15" t="s">
        <v>383</v>
      </c>
      <c r="E70" s="15" t="s">
        <v>799</v>
      </c>
      <c r="F70" s="15">
        <v>14</v>
      </c>
      <c r="G70" s="15" t="s">
        <v>625</v>
      </c>
      <c r="H70" s="21" t="s">
        <v>709</v>
      </c>
      <c r="I70" s="22">
        <f t="shared" si="4"/>
        <v>3839</v>
      </c>
      <c r="J70" s="19">
        <f t="shared" si="5"/>
        <v>3367.5438596491226</v>
      </c>
      <c r="K70" s="19">
        <f t="shared" si="6"/>
        <v>2369.7530864197529</v>
      </c>
      <c r="L70" s="19">
        <f t="shared" si="7"/>
        <v>1401.0948905109487</v>
      </c>
    </row>
    <row r="71" spans="1:12" ht="15" thickBot="1" x14ac:dyDescent="0.35">
      <c r="A71" s="6">
        <v>682</v>
      </c>
      <c r="B71" s="9" t="s">
        <v>79</v>
      </c>
      <c r="C71" s="8">
        <v>209</v>
      </c>
      <c r="D71" s="8" t="s">
        <v>384</v>
      </c>
      <c r="E71" s="8" t="s">
        <v>792</v>
      </c>
      <c r="F71" s="8">
        <v>16</v>
      </c>
      <c r="G71" s="8" t="s">
        <v>622</v>
      </c>
      <c r="H71" s="20" t="s">
        <v>710</v>
      </c>
      <c r="I71" s="22">
        <f t="shared" si="4"/>
        <v>1804.9019607843136</v>
      </c>
      <c r="J71" s="19">
        <f t="shared" si="5"/>
        <v>1587.0689655172414</v>
      </c>
      <c r="K71" s="19">
        <f t="shared" si="6"/>
        <v>968.94736842105272</v>
      </c>
      <c r="L71" s="19">
        <f t="shared" si="7"/>
        <v>634.82758620689663</v>
      </c>
    </row>
    <row r="72" spans="1:12" ht="15" thickBot="1" x14ac:dyDescent="0.35">
      <c r="A72" s="13">
        <v>683</v>
      </c>
      <c r="B72" s="14" t="s">
        <v>80</v>
      </c>
      <c r="C72" s="15">
        <v>183</v>
      </c>
      <c r="D72" s="15" t="s">
        <v>385</v>
      </c>
      <c r="E72" s="15" t="s">
        <v>793</v>
      </c>
      <c r="F72" s="15">
        <v>26</v>
      </c>
      <c r="G72" s="15" t="s">
        <v>599</v>
      </c>
      <c r="H72" s="21" t="s">
        <v>711</v>
      </c>
      <c r="I72" s="22">
        <f t="shared" si="4"/>
        <v>2771.2871287128714</v>
      </c>
      <c r="J72" s="19">
        <f t="shared" si="5"/>
        <v>2221.4285714285716</v>
      </c>
      <c r="K72" s="19">
        <f t="shared" si="6"/>
        <v>1563.6871508379888</v>
      </c>
      <c r="L72" s="19">
        <f t="shared" si="7"/>
        <v>1097.6470588235295</v>
      </c>
    </row>
    <row r="73" spans="1:12" ht="15" thickBot="1" x14ac:dyDescent="0.35">
      <c r="A73" s="6">
        <v>684</v>
      </c>
      <c r="B73" s="9" t="s">
        <v>81</v>
      </c>
      <c r="C73" s="8">
        <v>56</v>
      </c>
      <c r="D73" s="8" t="s">
        <v>386</v>
      </c>
      <c r="E73" s="8" t="s">
        <v>797</v>
      </c>
      <c r="F73" s="8">
        <v>21</v>
      </c>
      <c r="G73" s="8" t="s">
        <v>635</v>
      </c>
      <c r="H73" s="20" t="s">
        <v>712</v>
      </c>
      <c r="I73" s="22">
        <f t="shared" si="4"/>
        <v>1372.6415094339623</v>
      </c>
      <c r="J73" s="19">
        <f t="shared" si="5"/>
        <v>1202.4793388429753</v>
      </c>
      <c r="K73" s="19">
        <f t="shared" si="6"/>
        <v>795.08196721311469</v>
      </c>
      <c r="L73" s="19">
        <f t="shared" si="7"/>
        <v>469.35483870967738</v>
      </c>
    </row>
    <row r="74" spans="1:12" ht="15" thickBot="1" x14ac:dyDescent="0.35">
      <c r="A74" s="13">
        <v>685</v>
      </c>
      <c r="B74" s="14" t="s">
        <v>82</v>
      </c>
      <c r="C74" s="15">
        <v>158</v>
      </c>
      <c r="D74" s="15" t="s">
        <v>387</v>
      </c>
      <c r="E74" s="15" t="s">
        <v>794</v>
      </c>
      <c r="F74" s="15">
        <v>25</v>
      </c>
      <c r="G74" s="15" t="s">
        <v>617</v>
      </c>
      <c r="H74" s="21" t="s">
        <v>661</v>
      </c>
      <c r="I74" s="22">
        <f t="shared" si="4"/>
        <v>1644.2307692307693</v>
      </c>
      <c r="J74" s="19">
        <f t="shared" si="5"/>
        <v>1368</v>
      </c>
      <c r="K74" s="19">
        <f t="shared" si="6"/>
        <v>1011.8343195266273</v>
      </c>
      <c r="L74" s="19">
        <f t="shared" si="7"/>
        <v>638.05970149253733</v>
      </c>
    </row>
    <row r="75" spans="1:12" ht="15" thickBot="1" x14ac:dyDescent="0.35">
      <c r="A75" s="6">
        <v>686</v>
      </c>
      <c r="B75" s="9" t="s">
        <v>83</v>
      </c>
      <c r="C75" s="8">
        <v>99</v>
      </c>
      <c r="D75" s="8" t="s">
        <v>388</v>
      </c>
      <c r="E75" s="8" t="s">
        <v>802</v>
      </c>
      <c r="F75" s="8">
        <v>35</v>
      </c>
      <c r="G75" s="8" t="s">
        <v>628</v>
      </c>
      <c r="H75" s="20" t="s">
        <v>713</v>
      </c>
      <c r="I75" s="22">
        <f t="shared" si="4"/>
        <v>1809.3457943925232</v>
      </c>
      <c r="J75" s="19">
        <f t="shared" si="5"/>
        <v>1434.0740740740739</v>
      </c>
      <c r="K75" s="19">
        <f t="shared" si="6"/>
        <v>1046.4864864864865</v>
      </c>
      <c r="L75" s="19">
        <f t="shared" si="7"/>
        <v>693.90681003584234</v>
      </c>
    </row>
    <row r="76" spans="1:12" ht="15" thickBot="1" x14ac:dyDescent="0.35">
      <c r="A76" s="13">
        <v>687</v>
      </c>
      <c r="B76" s="14" t="s">
        <v>84</v>
      </c>
      <c r="C76" s="15">
        <v>115</v>
      </c>
      <c r="D76" s="15" t="s">
        <v>389</v>
      </c>
      <c r="E76" s="15" t="s">
        <v>798</v>
      </c>
      <c r="F76" s="15">
        <v>18</v>
      </c>
      <c r="G76" s="15" t="s">
        <v>599</v>
      </c>
      <c r="H76" s="21" t="s">
        <v>714</v>
      </c>
      <c r="I76" s="22">
        <f t="shared" si="4"/>
        <v>2322.8571428571427</v>
      </c>
      <c r="J76" s="19">
        <f t="shared" si="5"/>
        <v>2066.9491525423732</v>
      </c>
      <c r="K76" s="19">
        <f t="shared" si="6"/>
        <v>1362.5698324022346</v>
      </c>
      <c r="L76" s="19">
        <f t="shared" si="7"/>
        <v>886.90909090909088</v>
      </c>
    </row>
    <row r="77" spans="1:12" ht="15" thickBot="1" x14ac:dyDescent="0.35">
      <c r="A77" s="6"/>
      <c r="B77" s="7" t="s">
        <v>85</v>
      </c>
      <c r="C77" s="8"/>
      <c r="D77" s="8" t="s">
        <v>324</v>
      </c>
      <c r="E77" s="8" t="s">
        <v>324</v>
      </c>
      <c r="F77" s="8"/>
      <c r="G77" s="8" t="s">
        <v>324</v>
      </c>
      <c r="H77" s="20" t="s">
        <v>324</v>
      </c>
      <c r="I77" s="22" t="e">
        <f t="shared" si="4"/>
        <v>#VALUE!</v>
      </c>
      <c r="J77" s="19" t="e">
        <f t="shared" si="5"/>
        <v>#VALUE!</v>
      </c>
      <c r="K77" s="19" t="e">
        <f t="shared" si="6"/>
        <v>#VALUE!</v>
      </c>
      <c r="L77" s="19" t="e">
        <f t="shared" si="7"/>
        <v>#VALUE!</v>
      </c>
    </row>
    <row r="78" spans="1:12" ht="15" thickBot="1" x14ac:dyDescent="0.35">
      <c r="A78" s="13">
        <v>760</v>
      </c>
      <c r="B78" s="14" t="s">
        <v>86</v>
      </c>
      <c r="C78" s="15">
        <v>67</v>
      </c>
      <c r="D78" s="15" t="s">
        <v>390</v>
      </c>
      <c r="E78" s="15" t="s">
        <v>792</v>
      </c>
      <c r="F78" s="15">
        <v>38</v>
      </c>
      <c r="G78" s="15" t="s">
        <v>636</v>
      </c>
      <c r="H78" s="21" t="s">
        <v>667</v>
      </c>
      <c r="I78" s="22">
        <f t="shared" si="4"/>
        <v>1110.7843137254902</v>
      </c>
      <c r="J78" s="19">
        <f t="shared" si="5"/>
        <v>821.01449275362324</v>
      </c>
      <c r="K78" s="19">
        <f t="shared" si="6"/>
        <v>643.75</v>
      </c>
      <c r="L78" s="19">
        <f t="shared" si="7"/>
        <v>453.2</v>
      </c>
    </row>
    <row r="79" spans="1:12" ht="15" thickBot="1" x14ac:dyDescent="0.35">
      <c r="A79" s="6">
        <v>761</v>
      </c>
      <c r="B79" s="9" t="s">
        <v>87</v>
      </c>
      <c r="C79" s="8">
        <v>71</v>
      </c>
      <c r="D79" s="8" t="s">
        <v>391</v>
      </c>
      <c r="E79" s="8">
        <v>-4</v>
      </c>
      <c r="F79" s="8">
        <v>28</v>
      </c>
      <c r="G79" s="8" t="s">
        <v>637</v>
      </c>
      <c r="H79" s="20" t="s">
        <v>690</v>
      </c>
      <c r="I79" s="22">
        <f t="shared" si="4"/>
        <v>1315.625</v>
      </c>
      <c r="J79" s="19">
        <f t="shared" si="5"/>
        <v>986.71875</v>
      </c>
      <c r="K79" s="19">
        <f t="shared" si="6"/>
        <v>721.71428571428567</v>
      </c>
      <c r="L79" s="19">
        <f t="shared" si="7"/>
        <v>487.6447876447877</v>
      </c>
    </row>
    <row r="80" spans="1:12" ht="15" thickBot="1" x14ac:dyDescent="0.35">
      <c r="A80" s="13">
        <v>763</v>
      </c>
      <c r="B80" s="14" t="s">
        <v>88</v>
      </c>
      <c r="C80" s="15">
        <v>78</v>
      </c>
      <c r="D80" s="15" t="s">
        <v>392</v>
      </c>
      <c r="E80" s="15" t="s">
        <v>792</v>
      </c>
      <c r="F80" s="15">
        <v>28</v>
      </c>
      <c r="G80" s="15" t="s">
        <v>638</v>
      </c>
      <c r="H80" s="21" t="s">
        <v>715</v>
      </c>
      <c r="I80" s="22">
        <f t="shared" si="4"/>
        <v>1106.8627450980391</v>
      </c>
      <c r="J80" s="19">
        <f t="shared" si="5"/>
        <v>882.03125</v>
      </c>
      <c r="K80" s="19">
        <f t="shared" si="6"/>
        <v>613.58695652173913</v>
      </c>
      <c r="L80" s="19">
        <f t="shared" si="7"/>
        <v>527.57009345794404</v>
      </c>
    </row>
    <row r="81" spans="1:12" ht="15" thickBot="1" x14ac:dyDescent="0.35">
      <c r="A81" s="6">
        <v>764</v>
      </c>
      <c r="B81" s="9" t="s">
        <v>89</v>
      </c>
      <c r="C81" s="8">
        <v>84</v>
      </c>
      <c r="D81" s="8" t="s">
        <v>393</v>
      </c>
      <c r="E81" s="8" t="s">
        <v>792</v>
      </c>
      <c r="F81" s="8">
        <v>9</v>
      </c>
      <c r="G81" s="8" t="s">
        <v>612</v>
      </c>
      <c r="H81" s="20" t="s">
        <v>716</v>
      </c>
      <c r="I81" s="22">
        <f t="shared" si="4"/>
        <v>1702.9411764705883</v>
      </c>
      <c r="J81" s="19">
        <f t="shared" si="5"/>
        <v>1593.5779816513759</v>
      </c>
      <c r="K81" s="19">
        <f t="shared" si="6"/>
        <v>1158</v>
      </c>
      <c r="L81" s="19">
        <f t="shared" si="7"/>
        <v>739.14893617021278</v>
      </c>
    </row>
    <row r="82" spans="1:12" ht="15" thickBot="1" x14ac:dyDescent="0.35">
      <c r="A82" s="13">
        <v>765</v>
      </c>
      <c r="B82" s="14" t="s">
        <v>90</v>
      </c>
      <c r="C82" s="15">
        <v>84</v>
      </c>
      <c r="D82" s="15" t="s">
        <v>394</v>
      </c>
      <c r="E82" s="15">
        <v>-3</v>
      </c>
      <c r="F82" s="15">
        <v>7</v>
      </c>
      <c r="G82" s="15" t="s">
        <v>630</v>
      </c>
      <c r="H82" s="21" t="s">
        <v>686</v>
      </c>
      <c r="I82" s="22">
        <f t="shared" si="4"/>
        <v>2248.4536082474228</v>
      </c>
      <c r="J82" s="19">
        <f t="shared" si="5"/>
        <v>2038.3177570093458</v>
      </c>
      <c r="K82" s="19">
        <f t="shared" si="6"/>
        <v>1416.2337662337661</v>
      </c>
      <c r="L82" s="19">
        <f t="shared" si="7"/>
        <v>908.75</v>
      </c>
    </row>
    <row r="83" spans="1:12" ht="15" thickBot="1" x14ac:dyDescent="0.35">
      <c r="A83" s="6">
        <v>767</v>
      </c>
      <c r="B83" s="9" t="s">
        <v>91</v>
      </c>
      <c r="C83" s="8">
        <v>71</v>
      </c>
      <c r="D83" s="8" t="s">
        <v>395</v>
      </c>
      <c r="E83" s="8" t="s">
        <v>793</v>
      </c>
      <c r="F83" s="8">
        <v>33</v>
      </c>
      <c r="G83" s="8" t="s">
        <v>616</v>
      </c>
      <c r="H83" s="20" t="s">
        <v>717</v>
      </c>
      <c r="I83" s="22">
        <f t="shared" si="4"/>
        <v>1466.3366336633662</v>
      </c>
      <c r="J83" s="19">
        <f t="shared" si="5"/>
        <v>1113.5338345864661</v>
      </c>
      <c r="K83" s="19">
        <f t="shared" si="6"/>
        <v>908.58895705521479</v>
      </c>
      <c r="L83" s="19">
        <f t="shared" si="7"/>
        <v>624.89451476793249</v>
      </c>
    </row>
    <row r="84" spans="1:12" ht="15" thickBot="1" x14ac:dyDescent="0.35">
      <c r="A84" s="13">
        <v>780</v>
      </c>
      <c r="B84" s="14" t="s">
        <v>92</v>
      </c>
      <c r="C84" s="15">
        <v>334</v>
      </c>
      <c r="D84" s="15" t="s">
        <v>396</v>
      </c>
      <c r="E84" s="15" t="s">
        <v>794</v>
      </c>
      <c r="F84" s="15">
        <v>17</v>
      </c>
      <c r="G84" s="15" t="s">
        <v>611</v>
      </c>
      <c r="H84" s="21" t="s">
        <v>702</v>
      </c>
      <c r="I84" s="22">
        <f t="shared" si="4"/>
        <v>3168.2692307692305</v>
      </c>
      <c r="J84" s="19">
        <f t="shared" si="5"/>
        <v>2816.2393162393164</v>
      </c>
      <c r="K84" s="19">
        <f t="shared" si="6"/>
        <v>2098.7261146496817</v>
      </c>
      <c r="L84" s="19">
        <f t="shared" si="7"/>
        <v>1193.840579710145</v>
      </c>
    </row>
    <row r="85" spans="1:12" ht="15" thickBot="1" x14ac:dyDescent="0.35">
      <c r="A85" s="6">
        <v>781</v>
      </c>
      <c r="B85" s="9" t="s">
        <v>93</v>
      </c>
      <c r="C85" s="8">
        <v>150</v>
      </c>
      <c r="D85" s="8" t="s">
        <v>397</v>
      </c>
      <c r="E85" s="8" t="s">
        <v>798</v>
      </c>
      <c r="F85" s="8">
        <v>21</v>
      </c>
      <c r="G85" s="8" t="s">
        <v>632</v>
      </c>
      <c r="H85" s="20" t="s">
        <v>718</v>
      </c>
      <c r="I85" s="22">
        <f t="shared" si="4"/>
        <v>1891.4285714285713</v>
      </c>
      <c r="J85" s="19">
        <f t="shared" si="5"/>
        <v>1641.3223140495868</v>
      </c>
      <c r="K85" s="19">
        <f t="shared" si="6"/>
        <v>1249.056603773585</v>
      </c>
      <c r="L85" s="19">
        <f t="shared" si="7"/>
        <v>932.3943661971831</v>
      </c>
    </row>
    <row r="86" spans="1:12" ht="15" thickBot="1" x14ac:dyDescent="0.35">
      <c r="A86" s="13"/>
      <c r="B86" s="16" t="s">
        <v>94</v>
      </c>
      <c r="C86" s="15"/>
      <c r="D86" s="15" t="s">
        <v>324</v>
      </c>
      <c r="E86" s="15" t="s">
        <v>324</v>
      </c>
      <c r="F86" s="15"/>
      <c r="G86" s="15" t="s">
        <v>324</v>
      </c>
      <c r="H86" s="21" t="s">
        <v>324</v>
      </c>
      <c r="I86" s="22" t="e">
        <f t="shared" si="4"/>
        <v>#VALUE!</v>
      </c>
      <c r="J86" s="19" t="e">
        <f t="shared" si="5"/>
        <v>#VALUE!</v>
      </c>
      <c r="K86" s="19" t="e">
        <f t="shared" si="6"/>
        <v>#VALUE!</v>
      </c>
      <c r="L86" s="19" t="e">
        <f t="shared" si="7"/>
        <v>#VALUE!</v>
      </c>
    </row>
    <row r="87" spans="1:12" ht="15" thickBot="1" x14ac:dyDescent="0.35">
      <c r="A87" s="6">
        <v>821</v>
      </c>
      <c r="B87" s="9" t="s">
        <v>95</v>
      </c>
      <c r="C87" s="8">
        <v>68</v>
      </c>
      <c r="D87" s="8" t="s">
        <v>398</v>
      </c>
      <c r="E87" s="8">
        <v>-7</v>
      </c>
      <c r="F87" s="8">
        <v>29</v>
      </c>
      <c r="G87" s="8" t="s">
        <v>625</v>
      </c>
      <c r="H87" s="20" t="s">
        <v>719</v>
      </c>
      <c r="I87" s="22">
        <f t="shared" si="4"/>
        <v>872.04301075268825</v>
      </c>
      <c r="J87" s="19">
        <f t="shared" si="5"/>
        <v>628.68217054263562</v>
      </c>
      <c r="K87" s="19">
        <f t="shared" si="6"/>
        <v>500.61728395061726</v>
      </c>
      <c r="L87" s="19">
        <f t="shared" si="7"/>
        <v>403.48258706467664</v>
      </c>
    </row>
    <row r="88" spans="1:12" ht="15" thickBot="1" x14ac:dyDescent="0.35">
      <c r="A88" s="13">
        <v>834</v>
      </c>
      <c r="B88" s="14" t="s">
        <v>96</v>
      </c>
      <c r="C88" s="15">
        <v>65</v>
      </c>
      <c r="D88" s="15" t="s">
        <v>399</v>
      </c>
      <c r="E88" s="15" t="s">
        <v>805</v>
      </c>
      <c r="F88" s="15">
        <v>54</v>
      </c>
      <c r="G88" s="15" t="s">
        <v>705</v>
      </c>
      <c r="H88" s="21" t="s">
        <v>720</v>
      </c>
      <c r="I88" s="22">
        <f t="shared" si="4"/>
        <v>1220.9090909090908</v>
      </c>
      <c r="J88" s="19">
        <f t="shared" si="5"/>
        <v>872.07792207792204</v>
      </c>
      <c r="K88" s="19">
        <f t="shared" si="6"/>
        <v>671.5</v>
      </c>
      <c r="L88" s="19">
        <f t="shared" si="7"/>
        <v>438.88888888888886</v>
      </c>
    </row>
    <row r="89" spans="1:12" ht="15" thickBot="1" x14ac:dyDescent="0.35">
      <c r="A89" s="6">
        <v>840</v>
      </c>
      <c r="B89" s="9" t="s">
        <v>97</v>
      </c>
      <c r="C89" s="8">
        <v>147</v>
      </c>
      <c r="D89" s="8" t="s">
        <v>400</v>
      </c>
      <c r="E89" s="8">
        <v>-2</v>
      </c>
      <c r="F89" s="8">
        <v>33</v>
      </c>
      <c r="G89" s="8" t="s">
        <v>625</v>
      </c>
      <c r="H89" s="20" t="s">
        <v>702</v>
      </c>
      <c r="I89" s="22">
        <f t="shared" si="4"/>
        <v>2921.4285714285716</v>
      </c>
      <c r="J89" s="19">
        <f t="shared" si="5"/>
        <v>2152.6315789473683</v>
      </c>
      <c r="K89" s="19">
        <f t="shared" si="6"/>
        <v>1767.2839506172838</v>
      </c>
      <c r="L89" s="19">
        <f t="shared" si="7"/>
        <v>1037.3188405797102</v>
      </c>
    </row>
    <row r="90" spans="1:12" ht="15" thickBot="1" x14ac:dyDescent="0.35">
      <c r="A90" s="13">
        <v>860</v>
      </c>
      <c r="B90" s="14" t="s">
        <v>98</v>
      </c>
      <c r="C90" s="15">
        <v>106</v>
      </c>
      <c r="D90" s="15" t="s">
        <v>401</v>
      </c>
      <c r="E90" s="15" t="s">
        <v>806</v>
      </c>
      <c r="F90" s="15">
        <v>34</v>
      </c>
      <c r="G90" s="15" t="s">
        <v>639</v>
      </c>
      <c r="H90" s="21" t="s">
        <v>690</v>
      </c>
      <c r="I90" s="22">
        <f t="shared" si="4"/>
        <v>789.38053097345141</v>
      </c>
      <c r="J90" s="19">
        <f t="shared" si="5"/>
        <v>665.67164179104475</v>
      </c>
      <c r="K90" s="19">
        <f t="shared" si="6"/>
        <v>455.10204081632656</v>
      </c>
      <c r="L90" s="19">
        <f t="shared" si="7"/>
        <v>344.40154440154441</v>
      </c>
    </row>
    <row r="91" spans="1:12" ht="15" thickBot="1" x14ac:dyDescent="0.35">
      <c r="A91" s="6">
        <v>861</v>
      </c>
      <c r="B91" s="9" t="s">
        <v>99</v>
      </c>
      <c r="C91" s="8">
        <v>98</v>
      </c>
      <c r="D91" s="8" t="s">
        <v>402</v>
      </c>
      <c r="E91" s="8" t="s">
        <v>796</v>
      </c>
      <c r="F91" s="8">
        <v>15</v>
      </c>
      <c r="G91" s="8" t="s">
        <v>616</v>
      </c>
      <c r="H91" s="20" t="s">
        <v>716</v>
      </c>
      <c r="I91" s="22">
        <f t="shared" si="4"/>
        <v>1491.2621359223301</v>
      </c>
      <c r="J91" s="19">
        <f t="shared" si="5"/>
        <v>1335.6521739130435</v>
      </c>
      <c r="K91" s="19">
        <f t="shared" si="6"/>
        <v>942.3312883435583</v>
      </c>
      <c r="L91" s="19">
        <f t="shared" si="7"/>
        <v>653.61702127659566</v>
      </c>
    </row>
    <row r="92" spans="1:12" ht="15" thickBot="1" x14ac:dyDescent="0.35">
      <c r="A92" s="13">
        <v>862</v>
      </c>
      <c r="B92" s="14" t="s">
        <v>100</v>
      </c>
      <c r="C92" s="15">
        <v>67</v>
      </c>
      <c r="D92" s="15" t="s">
        <v>403</v>
      </c>
      <c r="E92" s="15" t="s">
        <v>792</v>
      </c>
      <c r="F92" s="15">
        <v>36</v>
      </c>
      <c r="G92" s="15" t="s">
        <v>640</v>
      </c>
      <c r="H92" s="21" t="s">
        <v>721</v>
      </c>
      <c r="I92" s="22">
        <f t="shared" si="4"/>
        <v>992.15686274509801</v>
      </c>
      <c r="J92" s="19">
        <f t="shared" si="5"/>
        <v>744.11764705882365</v>
      </c>
      <c r="K92" s="19">
        <f t="shared" si="6"/>
        <v>568.5393258426966</v>
      </c>
      <c r="L92" s="19">
        <f t="shared" si="7"/>
        <v>445.81497797356826</v>
      </c>
    </row>
    <row r="93" spans="1:12" ht="15" thickBot="1" x14ac:dyDescent="0.35">
      <c r="A93" s="6">
        <v>880</v>
      </c>
      <c r="B93" s="9" t="s">
        <v>101</v>
      </c>
      <c r="C93" s="8">
        <v>389</v>
      </c>
      <c r="D93" s="8" t="s">
        <v>404</v>
      </c>
      <c r="E93" s="8" t="s">
        <v>793</v>
      </c>
      <c r="F93" s="8">
        <v>19</v>
      </c>
      <c r="G93" s="8" t="s">
        <v>616</v>
      </c>
      <c r="H93" s="20" t="s">
        <v>676</v>
      </c>
      <c r="I93" s="22">
        <f t="shared" si="4"/>
        <v>3664.3564356435645</v>
      </c>
      <c r="J93" s="19">
        <f t="shared" si="5"/>
        <v>3110.0840336134456</v>
      </c>
      <c r="K93" s="19">
        <f t="shared" si="6"/>
        <v>2270.5521472392638</v>
      </c>
      <c r="L93" s="19">
        <f t="shared" si="7"/>
        <v>1386.1423220973784</v>
      </c>
    </row>
    <row r="94" spans="1:12" ht="15" thickBot="1" x14ac:dyDescent="0.35">
      <c r="A94" s="13">
        <v>881</v>
      </c>
      <c r="B94" s="14" t="s">
        <v>102</v>
      </c>
      <c r="C94" s="15">
        <v>142</v>
      </c>
      <c r="D94" s="15" t="s">
        <v>405</v>
      </c>
      <c r="E94" s="15">
        <v>-3</v>
      </c>
      <c r="F94" s="15">
        <v>16</v>
      </c>
      <c r="G94" s="15" t="s">
        <v>618</v>
      </c>
      <c r="H94" s="21" t="s">
        <v>722</v>
      </c>
      <c r="I94" s="22">
        <f t="shared" si="4"/>
        <v>1564.9484536082475</v>
      </c>
      <c r="J94" s="19">
        <f t="shared" si="5"/>
        <v>1308.6206896551726</v>
      </c>
      <c r="K94" s="19">
        <f t="shared" si="6"/>
        <v>925.60975609756088</v>
      </c>
      <c r="L94" s="19">
        <f t="shared" si="7"/>
        <v>643.22033898305074</v>
      </c>
    </row>
    <row r="95" spans="1:12" ht="15" thickBot="1" x14ac:dyDescent="0.35">
      <c r="A95" s="6">
        <v>882</v>
      </c>
      <c r="B95" s="9" t="s">
        <v>103</v>
      </c>
      <c r="C95" s="8">
        <v>176</v>
      </c>
      <c r="D95" s="8" t="s">
        <v>406</v>
      </c>
      <c r="E95" s="8" t="s">
        <v>807</v>
      </c>
      <c r="F95" s="8">
        <v>24</v>
      </c>
      <c r="G95" s="8" t="s">
        <v>630</v>
      </c>
      <c r="H95" s="20" t="s">
        <v>713</v>
      </c>
      <c r="I95" s="22">
        <f t="shared" si="4"/>
        <v>2020.6896551724139</v>
      </c>
      <c r="J95" s="19">
        <f t="shared" si="5"/>
        <v>1890.3225806451612</v>
      </c>
      <c r="K95" s="19">
        <f t="shared" si="6"/>
        <v>1522.077922077922</v>
      </c>
      <c r="L95" s="19">
        <f t="shared" si="7"/>
        <v>840.14336917562719</v>
      </c>
    </row>
    <row r="96" spans="1:12" ht="15" thickBot="1" x14ac:dyDescent="0.35">
      <c r="A96" s="13">
        <v>883</v>
      </c>
      <c r="B96" s="14" t="s">
        <v>104</v>
      </c>
      <c r="C96" s="15">
        <v>205</v>
      </c>
      <c r="D96" s="15" t="s">
        <v>407</v>
      </c>
      <c r="E96" s="15" t="s">
        <v>797</v>
      </c>
      <c r="F96" s="15">
        <v>23</v>
      </c>
      <c r="G96" s="15" t="s">
        <v>617</v>
      </c>
      <c r="H96" s="21" t="s">
        <v>674</v>
      </c>
      <c r="I96" s="22">
        <f t="shared" si="4"/>
        <v>2032.075471698113</v>
      </c>
      <c r="J96" s="19">
        <f t="shared" si="5"/>
        <v>1751.219512195122</v>
      </c>
      <c r="K96" s="19">
        <f t="shared" si="6"/>
        <v>1274.5562130177516</v>
      </c>
      <c r="L96" s="19">
        <f t="shared" si="7"/>
        <v>750.52264808362372</v>
      </c>
    </row>
    <row r="97" spans="1:12" ht="15" thickBot="1" x14ac:dyDescent="0.35">
      <c r="A97" s="6">
        <v>884</v>
      </c>
      <c r="B97" s="9" t="s">
        <v>105</v>
      </c>
      <c r="C97" s="8">
        <v>94</v>
      </c>
      <c r="D97" s="8" t="s">
        <v>408</v>
      </c>
      <c r="E97" s="8" t="s">
        <v>806</v>
      </c>
      <c r="F97" s="8">
        <v>24</v>
      </c>
      <c r="G97" s="8" t="s">
        <v>628</v>
      </c>
      <c r="H97" s="20" t="s">
        <v>723</v>
      </c>
      <c r="I97" s="22">
        <f t="shared" si="4"/>
        <v>1555.7522123893807</v>
      </c>
      <c r="J97" s="19">
        <f t="shared" si="5"/>
        <v>1417.741935483871</v>
      </c>
      <c r="K97" s="19">
        <f t="shared" si="6"/>
        <v>950.2702702702702</v>
      </c>
      <c r="L97" s="19">
        <f t="shared" si="7"/>
        <v>706.02409638554207</v>
      </c>
    </row>
    <row r="98" spans="1:12" ht="15" thickBot="1" x14ac:dyDescent="0.35">
      <c r="A98" s="13">
        <v>885</v>
      </c>
      <c r="B98" s="14" t="s">
        <v>106</v>
      </c>
      <c r="C98" s="15">
        <v>94</v>
      </c>
      <c r="D98" s="15" t="s">
        <v>409</v>
      </c>
      <c r="E98" s="15" t="s">
        <v>797</v>
      </c>
      <c r="F98" s="15">
        <v>37</v>
      </c>
      <c r="G98" s="15" t="s">
        <v>634</v>
      </c>
      <c r="H98" s="21" t="s">
        <v>724</v>
      </c>
      <c r="I98" s="22">
        <f t="shared" si="4"/>
        <v>2487.7358490566035</v>
      </c>
      <c r="J98" s="19">
        <f t="shared" si="5"/>
        <v>1924.817518248175</v>
      </c>
      <c r="K98" s="19">
        <f t="shared" si="6"/>
        <v>1465</v>
      </c>
      <c r="L98" s="19">
        <f t="shared" si="7"/>
        <v>796.67673716012087</v>
      </c>
    </row>
    <row r="99" spans="1:12" ht="15" thickBot="1" x14ac:dyDescent="0.35">
      <c r="A99" s="6"/>
      <c r="B99" s="7" t="s">
        <v>107</v>
      </c>
      <c r="C99" s="8"/>
      <c r="D99" s="8" t="s">
        <v>324</v>
      </c>
      <c r="E99" s="8" t="s">
        <v>324</v>
      </c>
      <c r="F99" s="8"/>
      <c r="G99" s="8" t="s">
        <v>324</v>
      </c>
      <c r="H99" s="20" t="s">
        <v>324</v>
      </c>
      <c r="I99" s="22" t="e">
        <f t="shared" si="4"/>
        <v>#VALUE!</v>
      </c>
      <c r="J99" s="19" t="e">
        <f t="shared" si="5"/>
        <v>#VALUE!</v>
      </c>
      <c r="K99" s="19" t="e">
        <f t="shared" si="6"/>
        <v>#VALUE!</v>
      </c>
      <c r="L99" s="19" t="e">
        <f t="shared" si="7"/>
        <v>#VALUE!</v>
      </c>
    </row>
    <row r="100" spans="1:12" ht="15" thickBot="1" x14ac:dyDescent="0.35">
      <c r="A100" s="13">
        <v>980</v>
      </c>
      <c r="B100" s="14" t="s">
        <v>108</v>
      </c>
      <c r="C100" s="15">
        <v>349</v>
      </c>
      <c r="D100" s="15" t="s">
        <v>410</v>
      </c>
      <c r="E100" s="15" t="s">
        <v>798</v>
      </c>
      <c r="F100" s="15">
        <v>34</v>
      </c>
      <c r="G100" s="15" t="s">
        <v>622</v>
      </c>
      <c r="H100" s="21" t="s">
        <v>725</v>
      </c>
      <c r="I100" s="22">
        <f t="shared" si="4"/>
        <v>3764.7619047619046</v>
      </c>
      <c r="J100" s="19">
        <f t="shared" si="5"/>
        <v>2950</v>
      </c>
      <c r="K100" s="19">
        <f t="shared" si="6"/>
        <v>2080.5263157894738</v>
      </c>
      <c r="L100" s="19">
        <f t="shared" si="7"/>
        <v>1358.4192439862543</v>
      </c>
    </row>
    <row r="101" spans="1:12" ht="15" thickBot="1" x14ac:dyDescent="0.35">
      <c r="A101" s="6"/>
      <c r="B101" s="7" t="s">
        <v>109</v>
      </c>
      <c r="C101" s="8"/>
      <c r="D101" s="8" t="s">
        <v>324</v>
      </c>
      <c r="E101" s="8" t="s">
        <v>324</v>
      </c>
      <c r="F101" s="8"/>
      <c r="G101" s="8" t="s">
        <v>324</v>
      </c>
      <c r="H101" s="20" t="s">
        <v>324</v>
      </c>
      <c r="I101" s="22" t="e">
        <f t="shared" si="4"/>
        <v>#VALUE!</v>
      </c>
      <c r="J101" s="19" t="e">
        <f t="shared" si="5"/>
        <v>#VALUE!</v>
      </c>
      <c r="K101" s="19" t="e">
        <f t="shared" si="6"/>
        <v>#VALUE!</v>
      </c>
      <c r="L101" s="19" t="e">
        <f t="shared" si="7"/>
        <v>#VALUE!</v>
      </c>
    </row>
    <row r="102" spans="1:12" ht="15" thickBot="1" x14ac:dyDescent="0.35">
      <c r="A102" s="13">
        <v>1060</v>
      </c>
      <c r="B102" s="14" t="s">
        <v>110</v>
      </c>
      <c r="C102" s="15">
        <v>98</v>
      </c>
      <c r="D102" s="15">
        <v>1089</v>
      </c>
      <c r="E102" s="15">
        <v>-2</v>
      </c>
      <c r="F102" s="15">
        <v>11</v>
      </c>
      <c r="G102" s="15" t="s">
        <v>620</v>
      </c>
      <c r="H102" s="21" t="s">
        <v>600</v>
      </c>
      <c r="I102" s="22">
        <f t="shared" si="4"/>
        <v>1111.2244897959183</v>
      </c>
      <c r="J102" s="19">
        <f t="shared" si="5"/>
        <v>981.08108108108104</v>
      </c>
      <c r="K102" s="19">
        <f t="shared" si="6"/>
        <v>721.19205298013242</v>
      </c>
      <c r="L102" s="19">
        <f t="shared" si="7"/>
        <v>601.6574585635359</v>
      </c>
    </row>
    <row r="103" spans="1:12" ht="15" thickBot="1" x14ac:dyDescent="0.35">
      <c r="A103" s="6">
        <v>1080</v>
      </c>
      <c r="B103" s="9" t="s">
        <v>111</v>
      </c>
      <c r="C103" s="8">
        <v>359</v>
      </c>
      <c r="D103" s="8" t="s">
        <v>411</v>
      </c>
      <c r="E103" s="8" t="s">
        <v>799</v>
      </c>
      <c r="F103" s="8">
        <v>17</v>
      </c>
      <c r="G103" s="8" t="s">
        <v>617</v>
      </c>
      <c r="H103" s="20" t="s">
        <v>662</v>
      </c>
      <c r="I103" s="22">
        <f t="shared" si="4"/>
        <v>2747</v>
      </c>
      <c r="J103" s="19">
        <f t="shared" si="5"/>
        <v>2347.863247863248</v>
      </c>
      <c r="K103" s="19">
        <f t="shared" si="6"/>
        <v>1625.4437869822486</v>
      </c>
      <c r="L103" s="19">
        <f t="shared" si="7"/>
        <v>1139.8340248962654</v>
      </c>
    </row>
    <row r="104" spans="1:12" ht="15" thickBot="1" x14ac:dyDescent="0.35">
      <c r="A104" s="13">
        <v>1081</v>
      </c>
      <c r="B104" s="14" t="s">
        <v>112</v>
      </c>
      <c r="C104" s="15">
        <v>209</v>
      </c>
      <c r="D104" s="15" t="s">
        <v>412</v>
      </c>
      <c r="E104" s="15" t="s">
        <v>794</v>
      </c>
      <c r="F104" s="15">
        <v>11</v>
      </c>
      <c r="G104" s="15" t="s">
        <v>641</v>
      </c>
      <c r="H104" s="21" t="s">
        <v>726</v>
      </c>
      <c r="I104" s="22">
        <f t="shared" si="4"/>
        <v>1627.8846153846152</v>
      </c>
      <c r="J104" s="19">
        <f t="shared" si="5"/>
        <v>1525.2252252252251</v>
      </c>
      <c r="K104" s="19">
        <f t="shared" si="6"/>
        <v>1192.2535211267607</v>
      </c>
      <c r="L104" s="19">
        <f t="shared" si="7"/>
        <v>829.9019607843137</v>
      </c>
    </row>
    <row r="105" spans="1:12" ht="15" thickBot="1" x14ac:dyDescent="0.35">
      <c r="A105" s="6">
        <v>1082</v>
      </c>
      <c r="B105" s="9" t="s">
        <v>113</v>
      </c>
      <c r="C105" s="8">
        <v>218</v>
      </c>
      <c r="D105" s="8" t="s">
        <v>413</v>
      </c>
      <c r="E105" s="8" t="s">
        <v>805</v>
      </c>
      <c r="F105" s="8">
        <v>17</v>
      </c>
      <c r="G105" s="8" t="s">
        <v>621</v>
      </c>
      <c r="H105" s="20" t="s">
        <v>689</v>
      </c>
      <c r="I105" s="22">
        <f t="shared" si="4"/>
        <v>2035.4545454545453</v>
      </c>
      <c r="J105" s="19">
        <f t="shared" si="5"/>
        <v>1913.6752136752139</v>
      </c>
      <c r="K105" s="19">
        <f t="shared" si="6"/>
        <v>1390.6832298136646</v>
      </c>
      <c r="L105" s="19">
        <f t="shared" si="7"/>
        <v>917.62295081967216</v>
      </c>
    </row>
    <row r="106" spans="1:12" ht="15" thickBot="1" x14ac:dyDescent="0.35">
      <c r="A106" s="13">
        <v>1083</v>
      </c>
      <c r="B106" s="14" t="s">
        <v>114</v>
      </c>
      <c r="C106" s="15">
        <v>138</v>
      </c>
      <c r="D106" s="15" t="s">
        <v>414</v>
      </c>
      <c r="E106" s="15" t="s">
        <v>792</v>
      </c>
      <c r="F106" s="15">
        <v>30</v>
      </c>
      <c r="G106" s="15" t="s">
        <v>602</v>
      </c>
      <c r="H106" s="21" t="s">
        <v>665</v>
      </c>
      <c r="I106" s="22">
        <f t="shared" si="4"/>
        <v>2142.1568627450979</v>
      </c>
      <c r="J106" s="19">
        <f t="shared" si="5"/>
        <v>1680.7692307692307</v>
      </c>
      <c r="K106" s="19">
        <f t="shared" si="6"/>
        <v>1263.0057803468208</v>
      </c>
      <c r="L106" s="19">
        <f t="shared" si="7"/>
        <v>853.515625</v>
      </c>
    </row>
    <row r="107" spans="1:12" ht="15" thickBot="1" x14ac:dyDescent="0.35">
      <c r="A107" s="6"/>
      <c r="B107" s="7" t="s">
        <v>115</v>
      </c>
      <c r="C107" s="8"/>
      <c r="D107" s="8" t="s">
        <v>324</v>
      </c>
      <c r="E107" s="8" t="s">
        <v>324</v>
      </c>
      <c r="F107" s="8"/>
      <c r="G107" s="8" t="s">
        <v>324</v>
      </c>
      <c r="H107" s="20" t="s">
        <v>324</v>
      </c>
      <c r="I107" s="22" t="e">
        <f t="shared" si="4"/>
        <v>#VALUE!</v>
      </c>
      <c r="J107" s="19" t="e">
        <f t="shared" si="5"/>
        <v>#VALUE!</v>
      </c>
      <c r="K107" s="19" t="e">
        <f t="shared" si="6"/>
        <v>#VALUE!</v>
      </c>
      <c r="L107" s="19" t="e">
        <f t="shared" si="7"/>
        <v>#VALUE!</v>
      </c>
    </row>
    <row r="108" spans="1:12" ht="15" thickBot="1" x14ac:dyDescent="0.35">
      <c r="A108" s="13">
        <v>1214</v>
      </c>
      <c r="B108" s="14" t="s">
        <v>116</v>
      </c>
      <c r="C108" s="15">
        <v>128</v>
      </c>
      <c r="D108" s="15" t="s">
        <v>406</v>
      </c>
      <c r="E108" s="15" t="s">
        <v>792</v>
      </c>
      <c r="F108" s="15">
        <v>26</v>
      </c>
      <c r="G108" s="15" t="s">
        <v>628</v>
      </c>
      <c r="H108" s="21" t="s">
        <v>661</v>
      </c>
      <c r="I108" s="22">
        <f t="shared" si="4"/>
        <v>2298.0392156862745</v>
      </c>
      <c r="J108" s="19">
        <f t="shared" si="5"/>
        <v>1860.3174603174602</v>
      </c>
      <c r="K108" s="19">
        <f t="shared" si="6"/>
        <v>1267.0270270270269</v>
      </c>
      <c r="L108" s="19">
        <f t="shared" si="7"/>
        <v>874.62686567164189</v>
      </c>
    </row>
    <row r="109" spans="1:12" ht="15" thickBot="1" x14ac:dyDescent="0.35">
      <c r="A109" s="6">
        <v>1230</v>
      </c>
      <c r="B109" s="9" t="s">
        <v>117</v>
      </c>
      <c r="C109" s="8">
        <v>213</v>
      </c>
      <c r="D109" s="8" t="s">
        <v>415</v>
      </c>
      <c r="E109" s="8" t="s">
        <v>799</v>
      </c>
      <c r="F109" s="8">
        <v>18</v>
      </c>
      <c r="G109" s="8" t="s">
        <v>607</v>
      </c>
      <c r="H109" s="20" t="s">
        <v>721</v>
      </c>
      <c r="I109" s="22">
        <f t="shared" si="4"/>
        <v>4506</v>
      </c>
      <c r="J109" s="19">
        <f t="shared" si="5"/>
        <v>3818.6440677966102</v>
      </c>
      <c r="K109" s="19">
        <f t="shared" si="6"/>
        <v>2851.8987341772149</v>
      </c>
      <c r="L109" s="19">
        <f t="shared" si="7"/>
        <v>1985.0220264317181</v>
      </c>
    </row>
    <row r="110" spans="1:12" ht="15" thickBot="1" x14ac:dyDescent="0.35">
      <c r="A110" s="13">
        <v>1231</v>
      </c>
      <c r="B110" s="14" t="s">
        <v>118</v>
      </c>
      <c r="C110" s="15">
        <v>83</v>
      </c>
      <c r="D110" s="15" t="s">
        <v>416</v>
      </c>
      <c r="E110" s="15" t="s">
        <v>796</v>
      </c>
      <c r="F110" s="15">
        <v>15</v>
      </c>
      <c r="G110" s="15" t="s">
        <v>624</v>
      </c>
      <c r="H110" s="21" t="s">
        <v>727</v>
      </c>
      <c r="I110" s="22">
        <f t="shared" si="4"/>
        <v>4097.0873786407765</v>
      </c>
      <c r="J110" s="19">
        <f t="shared" si="5"/>
        <v>3669.5652173913045</v>
      </c>
      <c r="K110" s="19">
        <f t="shared" si="6"/>
        <v>2526.9461077844312</v>
      </c>
      <c r="L110" s="19">
        <f t="shared" si="7"/>
        <v>1736.6255144032923</v>
      </c>
    </row>
    <row r="111" spans="1:12" ht="15" thickBot="1" x14ac:dyDescent="0.35">
      <c r="A111" s="6">
        <v>1233</v>
      </c>
      <c r="B111" s="9" t="s">
        <v>119</v>
      </c>
      <c r="C111" s="8">
        <v>352</v>
      </c>
      <c r="D111" s="8" t="s">
        <v>417</v>
      </c>
      <c r="E111" s="8" t="s">
        <v>792</v>
      </c>
      <c r="F111" s="8">
        <v>31</v>
      </c>
      <c r="G111" s="8" t="s">
        <v>638</v>
      </c>
      <c r="H111" s="20" t="s">
        <v>661</v>
      </c>
      <c r="I111" s="22">
        <f t="shared" si="4"/>
        <v>6902.9411764705883</v>
      </c>
      <c r="J111" s="19">
        <f t="shared" si="5"/>
        <v>5374.8091603053435</v>
      </c>
      <c r="K111" s="19">
        <f t="shared" si="6"/>
        <v>3826.630434782609</v>
      </c>
      <c r="L111" s="19">
        <f t="shared" si="7"/>
        <v>2627.2388059701493</v>
      </c>
    </row>
    <row r="112" spans="1:12" ht="15" thickBot="1" x14ac:dyDescent="0.35">
      <c r="A112" s="13">
        <v>1256</v>
      </c>
      <c r="B112" s="14" t="s">
        <v>120</v>
      </c>
      <c r="C112" s="15">
        <v>114</v>
      </c>
      <c r="D112" s="15" t="s">
        <v>418</v>
      </c>
      <c r="E112" s="15" t="s">
        <v>798</v>
      </c>
      <c r="F112" s="15">
        <v>27</v>
      </c>
      <c r="G112" s="15" t="s">
        <v>637</v>
      </c>
      <c r="H112" s="21" t="s">
        <v>667</v>
      </c>
      <c r="I112" s="22">
        <f t="shared" si="4"/>
        <v>1148.5714285714284</v>
      </c>
      <c r="J112" s="19">
        <f t="shared" si="5"/>
        <v>949.6062992125984</v>
      </c>
      <c r="K112" s="19">
        <f t="shared" si="6"/>
        <v>689.14285714285711</v>
      </c>
      <c r="L112" s="19">
        <f t="shared" si="7"/>
        <v>482.4</v>
      </c>
    </row>
    <row r="113" spans="1:12" ht="15" thickBot="1" x14ac:dyDescent="0.35">
      <c r="A113" s="6">
        <v>1257</v>
      </c>
      <c r="B113" s="9" t="s">
        <v>121</v>
      </c>
      <c r="C113" s="8">
        <v>100</v>
      </c>
      <c r="D113" s="8" t="s">
        <v>419</v>
      </c>
      <c r="E113" s="8" t="s">
        <v>792</v>
      </c>
      <c r="F113" s="8">
        <v>28</v>
      </c>
      <c r="G113" s="8" t="s">
        <v>613</v>
      </c>
      <c r="H113" s="20" t="s">
        <v>673</v>
      </c>
      <c r="I113" s="22">
        <f t="shared" si="4"/>
        <v>1568.627450980392</v>
      </c>
      <c r="J113" s="19">
        <f t="shared" si="5"/>
        <v>1250</v>
      </c>
      <c r="K113" s="19">
        <f t="shared" si="6"/>
        <v>963.85542168674692</v>
      </c>
      <c r="L113" s="19">
        <f t="shared" si="7"/>
        <v>698.68995633187774</v>
      </c>
    </row>
    <row r="114" spans="1:12" ht="15" thickBot="1" x14ac:dyDescent="0.35">
      <c r="A114" s="13">
        <v>1260</v>
      </c>
      <c r="B114" s="14" t="s">
        <v>122</v>
      </c>
      <c r="C114" s="15">
        <v>146</v>
      </c>
      <c r="D114" s="15" t="s">
        <v>420</v>
      </c>
      <c r="E114" s="15">
        <v>-2</v>
      </c>
      <c r="F114" s="15">
        <v>12</v>
      </c>
      <c r="G114" s="15" t="s">
        <v>620</v>
      </c>
      <c r="H114" s="21" t="s">
        <v>722</v>
      </c>
      <c r="I114" s="22">
        <f t="shared" si="4"/>
        <v>1941.8367346938776</v>
      </c>
      <c r="J114" s="19">
        <f t="shared" si="5"/>
        <v>1699.1071428571427</v>
      </c>
      <c r="K114" s="19">
        <f t="shared" si="6"/>
        <v>1260.2649006622516</v>
      </c>
      <c r="L114" s="19">
        <f t="shared" si="7"/>
        <v>806.35593220338967</v>
      </c>
    </row>
    <row r="115" spans="1:12" ht="15" thickBot="1" x14ac:dyDescent="0.35">
      <c r="A115" s="6">
        <v>1261</v>
      </c>
      <c r="B115" s="9" t="s">
        <v>123</v>
      </c>
      <c r="C115" s="8">
        <v>223</v>
      </c>
      <c r="D115" s="8" t="s">
        <v>421</v>
      </c>
      <c r="E115" s="8" t="s">
        <v>797</v>
      </c>
      <c r="F115" s="8">
        <v>23</v>
      </c>
      <c r="G115" s="8" t="s">
        <v>602</v>
      </c>
      <c r="H115" s="20" t="s">
        <v>723</v>
      </c>
      <c r="I115" s="22">
        <f t="shared" si="4"/>
        <v>4305.6603773584902</v>
      </c>
      <c r="J115" s="19">
        <f t="shared" si="5"/>
        <v>3710.5691056910568</v>
      </c>
      <c r="K115" s="19">
        <f t="shared" si="6"/>
        <v>2638.150289017341</v>
      </c>
      <c r="L115" s="19">
        <f t="shared" si="7"/>
        <v>1832.9317269076303</v>
      </c>
    </row>
    <row r="116" spans="1:12" ht="15" thickBot="1" x14ac:dyDescent="0.35">
      <c r="A116" s="13">
        <v>1262</v>
      </c>
      <c r="B116" s="14" t="s">
        <v>124</v>
      </c>
      <c r="C116" s="15">
        <v>195</v>
      </c>
      <c r="D116" s="15" t="s">
        <v>422</v>
      </c>
      <c r="E116" s="15" t="s">
        <v>805</v>
      </c>
      <c r="F116" s="15">
        <v>22</v>
      </c>
      <c r="G116" s="15" t="s">
        <v>638</v>
      </c>
      <c r="H116" s="21" t="s">
        <v>708</v>
      </c>
      <c r="I116" s="22">
        <f t="shared" si="4"/>
        <v>6508.181818181818</v>
      </c>
      <c r="J116" s="19">
        <f t="shared" si="5"/>
        <v>5868.0327868852464</v>
      </c>
      <c r="K116" s="19">
        <f t="shared" si="6"/>
        <v>3890.7608695652175</v>
      </c>
      <c r="L116" s="19">
        <f t="shared" si="7"/>
        <v>2426.7796610169489</v>
      </c>
    </row>
    <row r="117" spans="1:12" ht="15" thickBot="1" x14ac:dyDescent="0.35">
      <c r="A117" s="6">
        <v>1263</v>
      </c>
      <c r="B117" s="9" t="s">
        <v>125</v>
      </c>
      <c r="C117" s="8">
        <v>196</v>
      </c>
      <c r="D117" s="8" t="s">
        <v>423</v>
      </c>
      <c r="E117" s="8" t="s">
        <v>794</v>
      </c>
      <c r="F117" s="8">
        <v>22</v>
      </c>
      <c r="G117" s="8" t="s">
        <v>614</v>
      </c>
      <c r="H117" s="20" t="s">
        <v>728</v>
      </c>
      <c r="I117" s="22">
        <f t="shared" si="4"/>
        <v>3900.9615384615381</v>
      </c>
      <c r="J117" s="19">
        <f t="shared" si="5"/>
        <v>3325.4098360655739</v>
      </c>
      <c r="K117" s="19">
        <f t="shared" si="6"/>
        <v>2458.787878787879</v>
      </c>
      <c r="L117" s="19">
        <f t="shared" si="7"/>
        <v>1741.2017167381973</v>
      </c>
    </row>
    <row r="118" spans="1:12" ht="15" thickBot="1" x14ac:dyDescent="0.35">
      <c r="A118" s="13">
        <v>1264</v>
      </c>
      <c r="B118" s="14" t="s">
        <v>126</v>
      </c>
      <c r="C118" s="15">
        <v>156</v>
      </c>
      <c r="D118" s="15" t="s">
        <v>424</v>
      </c>
      <c r="E118" s="15" t="s">
        <v>792</v>
      </c>
      <c r="F118" s="15">
        <v>24</v>
      </c>
      <c r="G118" s="15" t="s">
        <v>636</v>
      </c>
      <c r="H118" s="21" t="s">
        <v>729</v>
      </c>
      <c r="I118" s="22">
        <f t="shared" si="4"/>
        <v>3143.1372549019607</v>
      </c>
      <c r="J118" s="19">
        <f t="shared" si="5"/>
        <v>2585.483870967742</v>
      </c>
      <c r="K118" s="19">
        <f t="shared" si="6"/>
        <v>1821.590909090909</v>
      </c>
      <c r="L118" s="19">
        <f t="shared" si="7"/>
        <v>1297.9757085020244</v>
      </c>
    </row>
    <row r="119" spans="1:12" ht="15" thickBot="1" x14ac:dyDescent="0.35">
      <c r="A119" s="6">
        <v>1265</v>
      </c>
      <c r="B119" s="9" t="s">
        <v>127</v>
      </c>
      <c r="C119" s="8">
        <v>231</v>
      </c>
      <c r="D119" s="8" t="s">
        <v>425</v>
      </c>
      <c r="E119" s="8">
        <v>-7</v>
      </c>
      <c r="F119" s="8">
        <v>19</v>
      </c>
      <c r="G119" s="8" t="s">
        <v>617</v>
      </c>
      <c r="H119" s="20" t="s">
        <v>688</v>
      </c>
      <c r="I119" s="22">
        <f t="shared" si="4"/>
        <v>2315.0537634408602</v>
      </c>
      <c r="J119" s="19">
        <f t="shared" si="5"/>
        <v>1809.2436974789916</v>
      </c>
      <c r="K119" s="19">
        <f t="shared" si="6"/>
        <v>1273.9644970414201</v>
      </c>
      <c r="L119" s="19">
        <f t="shared" si="7"/>
        <v>794.46494464944647</v>
      </c>
    </row>
    <row r="120" spans="1:12" ht="15" thickBot="1" x14ac:dyDescent="0.35">
      <c r="A120" s="13">
        <v>1266</v>
      </c>
      <c r="B120" s="14" t="s">
        <v>128</v>
      </c>
      <c r="C120" s="15">
        <v>157</v>
      </c>
      <c r="D120" s="15" t="s">
        <v>426</v>
      </c>
      <c r="E120" s="15" t="s">
        <v>794</v>
      </c>
      <c r="F120" s="15">
        <v>29</v>
      </c>
      <c r="G120" s="15" t="s">
        <v>642</v>
      </c>
      <c r="H120" s="21" t="s">
        <v>709</v>
      </c>
      <c r="I120" s="22">
        <f t="shared" si="4"/>
        <v>2185.5769230769229</v>
      </c>
      <c r="J120" s="19">
        <f t="shared" si="5"/>
        <v>1762.015503875969</v>
      </c>
      <c r="K120" s="19">
        <f t="shared" si="6"/>
        <v>1190.0523560209424</v>
      </c>
      <c r="L120" s="19">
        <f t="shared" si="7"/>
        <v>829.56204379562041</v>
      </c>
    </row>
    <row r="121" spans="1:12" ht="15" thickBot="1" x14ac:dyDescent="0.35">
      <c r="A121" s="6">
        <v>1267</v>
      </c>
      <c r="B121" s="9" t="s">
        <v>129</v>
      </c>
      <c r="C121" s="8">
        <v>174</v>
      </c>
      <c r="D121" s="8" t="s">
        <v>427</v>
      </c>
      <c r="E121" s="8" t="s">
        <v>796</v>
      </c>
      <c r="F121" s="8">
        <v>26</v>
      </c>
      <c r="G121" s="8" t="s">
        <v>600</v>
      </c>
      <c r="H121" s="20" t="s">
        <v>730</v>
      </c>
      <c r="I121" s="22">
        <f t="shared" si="4"/>
        <v>2342.7184466019417</v>
      </c>
      <c r="J121" s="19">
        <f t="shared" si="5"/>
        <v>1915.0793650793651</v>
      </c>
      <c r="K121" s="19">
        <f t="shared" si="6"/>
        <v>1333.1491712707182</v>
      </c>
      <c r="L121" s="19">
        <f t="shared" si="7"/>
        <v>855.67375886524815</v>
      </c>
    </row>
    <row r="122" spans="1:12" ht="15" thickBot="1" x14ac:dyDescent="0.35">
      <c r="A122" s="13">
        <v>1270</v>
      </c>
      <c r="B122" s="14" t="s">
        <v>130</v>
      </c>
      <c r="C122" s="15">
        <v>112</v>
      </c>
      <c r="D122" s="15" t="s">
        <v>428</v>
      </c>
      <c r="E122" s="15">
        <v>-2</v>
      </c>
      <c r="F122" s="15">
        <v>37</v>
      </c>
      <c r="G122" s="15" t="s">
        <v>626</v>
      </c>
      <c r="H122" s="21" t="s">
        <v>731</v>
      </c>
      <c r="I122" s="22">
        <f t="shared" si="4"/>
        <v>2397.9591836734694</v>
      </c>
      <c r="J122" s="19">
        <f t="shared" si="5"/>
        <v>1715.3284671532845</v>
      </c>
      <c r="K122" s="19">
        <f t="shared" si="6"/>
        <v>1382.3529411764707</v>
      </c>
      <c r="L122" s="19">
        <f t="shared" si="7"/>
        <v>830.38869257950523</v>
      </c>
    </row>
    <row r="123" spans="1:12" ht="15" thickBot="1" x14ac:dyDescent="0.35">
      <c r="A123" s="6">
        <v>1272</v>
      </c>
      <c r="B123" s="9" t="s">
        <v>131</v>
      </c>
      <c r="C123" s="8">
        <v>93</v>
      </c>
      <c r="D123" s="8" t="s">
        <v>429</v>
      </c>
      <c r="E123" s="8" t="s">
        <v>796</v>
      </c>
      <c r="F123" s="8">
        <v>17</v>
      </c>
      <c r="G123" s="8" t="s">
        <v>630</v>
      </c>
      <c r="H123" s="20" t="s">
        <v>715</v>
      </c>
      <c r="I123" s="22">
        <f t="shared" si="4"/>
        <v>1534.9514563106795</v>
      </c>
      <c r="J123" s="19">
        <f t="shared" si="5"/>
        <v>1351.2820512820513</v>
      </c>
      <c r="K123" s="19">
        <f t="shared" si="6"/>
        <v>1026.6233766233765</v>
      </c>
      <c r="L123" s="19">
        <f t="shared" si="7"/>
        <v>738.78504672897202</v>
      </c>
    </row>
    <row r="124" spans="1:12" ht="15" thickBot="1" x14ac:dyDescent="0.35">
      <c r="A124" s="13">
        <v>1273</v>
      </c>
      <c r="B124" s="14" t="s">
        <v>132</v>
      </c>
      <c r="C124" s="15">
        <v>93</v>
      </c>
      <c r="D124" s="15" t="s">
        <v>430</v>
      </c>
      <c r="E124" s="15" t="s">
        <v>799</v>
      </c>
      <c r="F124" s="15">
        <v>21</v>
      </c>
      <c r="G124" s="15" t="s">
        <v>618</v>
      </c>
      <c r="H124" s="21" t="s">
        <v>732</v>
      </c>
      <c r="I124" s="22">
        <f t="shared" si="4"/>
        <v>1268</v>
      </c>
      <c r="J124" s="19">
        <f t="shared" si="5"/>
        <v>1047.9338842975208</v>
      </c>
      <c r="K124" s="19">
        <f t="shared" si="6"/>
        <v>773.17073170731703</v>
      </c>
      <c r="L124" s="19">
        <f t="shared" si="7"/>
        <v>511.29032258064518</v>
      </c>
    </row>
    <row r="125" spans="1:12" ht="15" thickBot="1" x14ac:dyDescent="0.35">
      <c r="A125" s="6">
        <v>1275</v>
      </c>
      <c r="B125" s="9" t="s">
        <v>133</v>
      </c>
      <c r="C125" s="8">
        <v>50</v>
      </c>
      <c r="D125" s="8" t="s">
        <v>431</v>
      </c>
      <c r="E125" s="8" t="s">
        <v>802</v>
      </c>
      <c r="F125" s="8">
        <v>17</v>
      </c>
      <c r="G125" s="8" t="s">
        <v>618</v>
      </c>
      <c r="H125" s="20" t="s">
        <v>733</v>
      </c>
      <c r="I125" s="22">
        <f t="shared" si="4"/>
        <v>1444.8598130841121</v>
      </c>
      <c r="J125" s="19">
        <f t="shared" si="5"/>
        <v>1321.3675213675215</v>
      </c>
      <c r="K125" s="19">
        <f t="shared" si="6"/>
        <v>942.68292682926824</v>
      </c>
      <c r="L125" s="19">
        <f t="shared" si="7"/>
        <v>678.07017543859638</v>
      </c>
    </row>
    <row r="126" spans="1:12" ht="15" thickBot="1" x14ac:dyDescent="0.35">
      <c r="A126" s="13">
        <v>1276</v>
      </c>
      <c r="B126" s="14" t="s">
        <v>134</v>
      </c>
      <c r="C126" s="15">
        <v>174</v>
      </c>
      <c r="D126" s="15" t="s">
        <v>432</v>
      </c>
      <c r="E126" s="15" t="s">
        <v>795</v>
      </c>
      <c r="F126" s="15">
        <v>26</v>
      </c>
      <c r="G126" s="15" t="s">
        <v>643</v>
      </c>
      <c r="H126" s="21" t="s">
        <v>711</v>
      </c>
      <c r="I126" s="22">
        <f t="shared" si="4"/>
        <v>1738.8888888888887</v>
      </c>
      <c r="J126" s="19">
        <f t="shared" si="5"/>
        <v>1490.4761904761904</v>
      </c>
      <c r="K126" s="19">
        <f t="shared" si="6"/>
        <v>1031.868131868132</v>
      </c>
      <c r="L126" s="19">
        <f t="shared" si="7"/>
        <v>736.47058823529414</v>
      </c>
    </row>
    <row r="127" spans="1:12" ht="15" thickBot="1" x14ac:dyDescent="0.35">
      <c r="A127" s="6">
        <v>1277</v>
      </c>
      <c r="B127" s="9" t="s">
        <v>135</v>
      </c>
      <c r="C127" s="8">
        <v>98</v>
      </c>
      <c r="D127" s="8" t="s">
        <v>433</v>
      </c>
      <c r="E127" s="8" t="s">
        <v>794</v>
      </c>
      <c r="F127" s="8">
        <v>24</v>
      </c>
      <c r="G127" s="8" t="s">
        <v>616</v>
      </c>
      <c r="H127" s="20" t="s">
        <v>734</v>
      </c>
      <c r="I127" s="22">
        <f t="shared" si="4"/>
        <v>2337.5</v>
      </c>
      <c r="J127" s="19">
        <f t="shared" si="5"/>
        <v>1960.483870967742</v>
      </c>
      <c r="K127" s="19">
        <f t="shared" si="6"/>
        <v>1491.4110429447853</v>
      </c>
      <c r="L127" s="19">
        <f t="shared" si="7"/>
        <v>945.91439688715946</v>
      </c>
    </row>
    <row r="128" spans="1:12" ht="15" thickBot="1" x14ac:dyDescent="0.35">
      <c r="A128" s="13">
        <v>1278</v>
      </c>
      <c r="B128" s="14" t="s">
        <v>136</v>
      </c>
      <c r="C128" s="15">
        <v>150</v>
      </c>
      <c r="D128" s="15" t="s">
        <v>434</v>
      </c>
      <c r="E128" s="15" t="s">
        <v>798</v>
      </c>
      <c r="F128" s="15">
        <v>34</v>
      </c>
      <c r="G128" s="15" t="s">
        <v>609</v>
      </c>
      <c r="H128" s="21" t="s">
        <v>735</v>
      </c>
      <c r="I128" s="22">
        <f t="shared" si="4"/>
        <v>4520</v>
      </c>
      <c r="J128" s="19">
        <f t="shared" si="5"/>
        <v>3541.7910447761192</v>
      </c>
      <c r="K128" s="19">
        <f t="shared" si="6"/>
        <v>3042.3076923076924</v>
      </c>
      <c r="L128" s="19">
        <f t="shared" si="7"/>
        <v>1647.9166666666667</v>
      </c>
    </row>
    <row r="129" spans="1:12" ht="15" thickBot="1" x14ac:dyDescent="0.35">
      <c r="A129" s="6">
        <v>1280</v>
      </c>
      <c r="B129" s="9" t="s">
        <v>137</v>
      </c>
      <c r="C129" s="8">
        <v>809</v>
      </c>
      <c r="D129" s="8" t="s">
        <v>435</v>
      </c>
      <c r="E129" s="8" t="s">
        <v>792</v>
      </c>
      <c r="F129" s="8">
        <v>21</v>
      </c>
      <c r="G129" s="8" t="s">
        <v>617</v>
      </c>
      <c r="H129" s="20" t="s">
        <v>727</v>
      </c>
      <c r="I129" s="22">
        <f t="shared" si="4"/>
        <v>5940.1960784313724</v>
      </c>
      <c r="J129" s="19">
        <f t="shared" si="5"/>
        <v>5007.4380165289258</v>
      </c>
      <c r="K129" s="19">
        <f t="shared" si="6"/>
        <v>3585.207100591716</v>
      </c>
      <c r="L129" s="19">
        <f t="shared" si="7"/>
        <v>2493.4156378600824</v>
      </c>
    </row>
    <row r="130" spans="1:12" ht="15" thickBot="1" x14ac:dyDescent="0.35">
      <c r="A130" s="13">
        <v>1281</v>
      </c>
      <c r="B130" s="14" t="s">
        <v>138</v>
      </c>
      <c r="C130" s="15">
        <v>370</v>
      </c>
      <c r="D130" s="15" t="s">
        <v>436</v>
      </c>
      <c r="E130" s="15" t="s">
        <v>796</v>
      </c>
      <c r="F130" s="15">
        <v>17</v>
      </c>
      <c r="G130" s="15" t="s">
        <v>626</v>
      </c>
      <c r="H130" s="21" t="s">
        <v>667</v>
      </c>
      <c r="I130" s="22">
        <f t="shared" si="4"/>
        <v>5196.1165048543689</v>
      </c>
      <c r="J130" s="19">
        <f t="shared" si="5"/>
        <v>4574.3589743589746</v>
      </c>
      <c r="K130" s="19">
        <f t="shared" si="6"/>
        <v>3148.2352941176473</v>
      </c>
      <c r="L130" s="19">
        <f t="shared" si="7"/>
        <v>2140.8000000000002</v>
      </c>
    </row>
    <row r="131" spans="1:12" ht="15" thickBot="1" x14ac:dyDescent="0.35">
      <c r="A131" s="6">
        <v>1282</v>
      </c>
      <c r="B131" s="9" t="s">
        <v>139</v>
      </c>
      <c r="C131" s="8">
        <v>216</v>
      </c>
      <c r="D131" s="8" t="s">
        <v>437</v>
      </c>
      <c r="E131" s="8" t="s">
        <v>796</v>
      </c>
      <c r="F131" s="8">
        <v>20</v>
      </c>
      <c r="G131" s="8" t="s">
        <v>613</v>
      </c>
      <c r="H131" s="20" t="s">
        <v>711</v>
      </c>
      <c r="I131" s="22">
        <f t="shared" ref="I131:I194" si="8" xml:space="preserve"> D131 / (1 + E131/100)</f>
        <v>4022.3300970873784</v>
      </c>
      <c r="J131" s="19">
        <f t="shared" ref="J131:J194" si="9" xml:space="preserve"> D131 / (1 + F131/100)</f>
        <v>3452.5</v>
      </c>
      <c r="K131" s="19">
        <f t="shared" ref="K131:K194" si="10" xml:space="preserve"> D131 / (1 + G131/100)</f>
        <v>2495.7831325301204</v>
      </c>
      <c r="L131" s="19">
        <f t="shared" ref="L131:L194" si="11" xml:space="preserve"> D131 / (1 + H131/100)</f>
        <v>1624.7058823529412</v>
      </c>
    </row>
    <row r="132" spans="1:12" ht="15" thickBot="1" x14ac:dyDescent="0.35">
      <c r="A132" s="13">
        <v>1283</v>
      </c>
      <c r="B132" s="14" t="s">
        <v>140</v>
      </c>
      <c r="C132" s="15">
        <v>632</v>
      </c>
      <c r="D132" s="15" t="s">
        <v>438</v>
      </c>
      <c r="E132" s="15" t="s">
        <v>794</v>
      </c>
      <c r="F132" s="15">
        <v>19</v>
      </c>
      <c r="G132" s="15" t="s">
        <v>607</v>
      </c>
      <c r="H132" s="21" t="s">
        <v>736</v>
      </c>
      <c r="I132" s="22">
        <f t="shared" si="8"/>
        <v>4710.5769230769229</v>
      </c>
      <c r="J132" s="19">
        <f t="shared" si="9"/>
        <v>4116.8067226890762</v>
      </c>
      <c r="K132" s="19">
        <f t="shared" si="10"/>
        <v>3100.6329113924048</v>
      </c>
      <c r="L132" s="19">
        <f t="shared" si="11"/>
        <v>1944.047619047619</v>
      </c>
    </row>
    <row r="133" spans="1:12" ht="15" thickBot="1" x14ac:dyDescent="0.35">
      <c r="A133" s="6">
        <v>1284</v>
      </c>
      <c r="B133" s="9" t="s">
        <v>141</v>
      </c>
      <c r="C133" s="8">
        <v>246</v>
      </c>
      <c r="D133" s="8" t="s">
        <v>439</v>
      </c>
      <c r="E133" s="8" t="s">
        <v>796</v>
      </c>
      <c r="F133" s="8">
        <v>28</v>
      </c>
      <c r="G133" s="8" t="s">
        <v>618</v>
      </c>
      <c r="H133" s="20" t="s">
        <v>688</v>
      </c>
      <c r="I133" s="22">
        <f t="shared" si="8"/>
        <v>4767.961165048544</v>
      </c>
      <c r="J133" s="19">
        <f t="shared" si="9"/>
        <v>3836.71875</v>
      </c>
      <c r="K133" s="19">
        <f t="shared" si="10"/>
        <v>2994.5121951219512</v>
      </c>
      <c r="L133" s="19">
        <f t="shared" si="11"/>
        <v>1812.1771217712178</v>
      </c>
    </row>
    <row r="134" spans="1:12" ht="15" thickBot="1" x14ac:dyDescent="0.35">
      <c r="A134" s="13">
        <v>1285</v>
      </c>
      <c r="B134" s="14" t="s">
        <v>142</v>
      </c>
      <c r="C134" s="15">
        <v>241</v>
      </c>
      <c r="D134" s="15" t="s">
        <v>440</v>
      </c>
      <c r="E134" s="15" t="s">
        <v>796</v>
      </c>
      <c r="F134" s="15">
        <v>15</v>
      </c>
      <c r="G134" s="15" t="s">
        <v>626</v>
      </c>
      <c r="H134" s="21" t="s">
        <v>667</v>
      </c>
      <c r="I134" s="22">
        <f t="shared" si="8"/>
        <v>3028.155339805825</v>
      </c>
      <c r="J134" s="19">
        <f t="shared" si="9"/>
        <v>2712.1739130434785</v>
      </c>
      <c r="K134" s="19">
        <f t="shared" si="10"/>
        <v>1834.7058823529412</v>
      </c>
      <c r="L134" s="19">
        <f t="shared" si="11"/>
        <v>1247.5999999999999</v>
      </c>
    </row>
    <row r="135" spans="1:12" ht="15" thickBot="1" x14ac:dyDescent="0.35">
      <c r="A135" s="6">
        <v>1286</v>
      </c>
      <c r="B135" s="9" t="s">
        <v>143</v>
      </c>
      <c r="C135" s="8">
        <v>254</v>
      </c>
      <c r="D135" s="8" t="s">
        <v>423</v>
      </c>
      <c r="E135" s="8" t="s">
        <v>796</v>
      </c>
      <c r="F135" s="8">
        <v>29</v>
      </c>
      <c r="G135" s="8" t="s">
        <v>613</v>
      </c>
      <c r="H135" s="20" t="s">
        <v>700</v>
      </c>
      <c r="I135" s="22">
        <f t="shared" si="8"/>
        <v>3938.8349514563106</v>
      </c>
      <c r="J135" s="19">
        <f t="shared" si="9"/>
        <v>3144.9612403100773</v>
      </c>
      <c r="K135" s="19">
        <f t="shared" si="10"/>
        <v>2443.9759036144578</v>
      </c>
      <c r="L135" s="19">
        <f t="shared" si="11"/>
        <v>1554.4061302681991</v>
      </c>
    </row>
    <row r="136" spans="1:12" ht="15" thickBot="1" x14ac:dyDescent="0.35">
      <c r="A136" s="13">
        <v>1287</v>
      </c>
      <c r="B136" s="14" t="s">
        <v>144</v>
      </c>
      <c r="C136" s="15">
        <v>340</v>
      </c>
      <c r="D136" s="15" t="s">
        <v>441</v>
      </c>
      <c r="E136" s="15" t="s">
        <v>796</v>
      </c>
      <c r="F136" s="15">
        <v>25</v>
      </c>
      <c r="G136" s="15" t="s">
        <v>627</v>
      </c>
      <c r="H136" s="21" t="s">
        <v>711</v>
      </c>
      <c r="I136" s="22">
        <f t="shared" si="8"/>
        <v>3660.1941747572814</v>
      </c>
      <c r="J136" s="19">
        <f t="shared" si="9"/>
        <v>3016</v>
      </c>
      <c r="K136" s="19">
        <f t="shared" si="10"/>
        <v>2166.6666666666665</v>
      </c>
      <c r="L136" s="19">
        <f t="shared" si="11"/>
        <v>1478.4313725490197</v>
      </c>
    </row>
    <row r="137" spans="1:12" ht="15" thickBot="1" x14ac:dyDescent="0.35">
      <c r="A137" s="6">
        <v>1290</v>
      </c>
      <c r="B137" s="9" t="s">
        <v>145</v>
      </c>
      <c r="C137" s="8">
        <v>554</v>
      </c>
      <c r="D137" s="8" t="s">
        <v>442</v>
      </c>
      <c r="E137" s="8" t="s">
        <v>798</v>
      </c>
      <c r="F137" s="8">
        <v>23</v>
      </c>
      <c r="G137" s="8" t="s">
        <v>640</v>
      </c>
      <c r="H137" s="20" t="s">
        <v>664</v>
      </c>
      <c r="I137" s="22">
        <f t="shared" si="8"/>
        <v>2566.6666666666665</v>
      </c>
      <c r="J137" s="19">
        <f t="shared" si="9"/>
        <v>2191.0569105691056</v>
      </c>
      <c r="K137" s="19">
        <f t="shared" si="10"/>
        <v>1514.0449438202247</v>
      </c>
      <c r="L137" s="19">
        <f t="shared" si="11"/>
        <v>1020.8333333333335</v>
      </c>
    </row>
    <row r="138" spans="1:12" ht="15" thickBot="1" x14ac:dyDescent="0.35">
      <c r="A138" s="13">
        <v>1291</v>
      </c>
      <c r="B138" s="14" t="s">
        <v>146</v>
      </c>
      <c r="C138" s="15">
        <v>183</v>
      </c>
      <c r="D138" s="15" t="s">
        <v>443</v>
      </c>
      <c r="E138" s="15" t="s">
        <v>792</v>
      </c>
      <c r="F138" s="15">
        <v>36</v>
      </c>
      <c r="G138" s="15" t="s">
        <v>635</v>
      </c>
      <c r="H138" s="21" t="s">
        <v>737</v>
      </c>
      <c r="I138" s="22">
        <f t="shared" si="8"/>
        <v>3441.1764705882351</v>
      </c>
      <c r="J138" s="19">
        <f t="shared" si="9"/>
        <v>2580.8823529411766</v>
      </c>
      <c r="K138" s="19">
        <f t="shared" si="10"/>
        <v>1918.0327868852457</v>
      </c>
      <c r="L138" s="19">
        <f t="shared" si="11"/>
        <v>1267.1480144404331</v>
      </c>
    </row>
    <row r="139" spans="1:12" ht="15" thickBot="1" x14ac:dyDescent="0.35">
      <c r="A139" s="6">
        <v>1292</v>
      </c>
      <c r="B139" s="9" t="s">
        <v>147</v>
      </c>
      <c r="C139" s="8">
        <v>286</v>
      </c>
      <c r="D139" s="8" t="s">
        <v>444</v>
      </c>
      <c r="E139" s="8" t="s">
        <v>793</v>
      </c>
      <c r="F139" s="8">
        <v>26</v>
      </c>
      <c r="G139" s="8" t="s">
        <v>602</v>
      </c>
      <c r="H139" s="20" t="s">
        <v>731</v>
      </c>
      <c r="I139" s="22">
        <f t="shared" si="8"/>
        <v>4070.2970297029701</v>
      </c>
      <c r="J139" s="19">
        <f t="shared" si="9"/>
        <v>3262.6984126984125</v>
      </c>
      <c r="K139" s="19">
        <f t="shared" si="10"/>
        <v>2376.3005780346821</v>
      </c>
      <c r="L139" s="19">
        <f t="shared" si="11"/>
        <v>1452.6501766784452</v>
      </c>
    </row>
    <row r="140" spans="1:12" ht="15" thickBot="1" x14ac:dyDescent="0.35">
      <c r="A140" s="13">
        <v>1293</v>
      </c>
      <c r="B140" s="14" t="s">
        <v>148</v>
      </c>
      <c r="C140" s="15">
        <v>384</v>
      </c>
      <c r="D140" s="15" t="s">
        <v>445</v>
      </c>
      <c r="E140" s="15" t="s">
        <v>796</v>
      </c>
      <c r="F140" s="15">
        <v>17</v>
      </c>
      <c r="G140" s="15" t="s">
        <v>644</v>
      </c>
      <c r="H140" s="21" t="s">
        <v>734</v>
      </c>
      <c r="I140" s="22">
        <f t="shared" si="8"/>
        <v>1817.4757281553398</v>
      </c>
      <c r="J140" s="19">
        <f t="shared" si="9"/>
        <v>1600</v>
      </c>
      <c r="K140" s="19">
        <f t="shared" si="10"/>
        <v>1094.7368421052631</v>
      </c>
      <c r="L140" s="19">
        <f t="shared" si="11"/>
        <v>728.4046692607003</v>
      </c>
    </row>
    <row r="141" spans="1:12" ht="15" thickBot="1" x14ac:dyDescent="0.35">
      <c r="A141" s="6"/>
      <c r="B141" s="7" t="s">
        <v>149</v>
      </c>
      <c r="C141" s="8"/>
      <c r="D141" s="8" t="s">
        <v>324</v>
      </c>
      <c r="E141" s="8" t="s">
        <v>324</v>
      </c>
      <c r="F141" s="8"/>
      <c r="G141" s="8" t="s">
        <v>324</v>
      </c>
      <c r="H141" s="20" t="s">
        <v>324</v>
      </c>
      <c r="I141" s="22" t="e">
        <f t="shared" si="8"/>
        <v>#VALUE!</v>
      </c>
      <c r="J141" s="19" t="e">
        <f t="shared" si="9"/>
        <v>#VALUE!</v>
      </c>
      <c r="K141" s="19" t="e">
        <f t="shared" si="10"/>
        <v>#VALUE!</v>
      </c>
      <c r="L141" s="19" t="e">
        <f t="shared" si="11"/>
        <v>#VALUE!</v>
      </c>
    </row>
    <row r="142" spans="1:12" ht="15" thickBot="1" x14ac:dyDescent="0.35">
      <c r="A142" s="13">
        <v>1315</v>
      </c>
      <c r="B142" s="14" t="s">
        <v>150</v>
      </c>
      <c r="C142" s="15">
        <v>63</v>
      </c>
      <c r="D142" s="15" t="s">
        <v>446</v>
      </c>
      <c r="E142" s="15" t="s">
        <v>795</v>
      </c>
      <c r="F142" s="15">
        <v>33</v>
      </c>
      <c r="G142" s="15" t="s">
        <v>645</v>
      </c>
      <c r="H142" s="21" t="s">
        <v>723</v>
      </c>
      <c r="I142" s="22">
        <f t="shared" si="8"/>
        <v>1114.8148148148148</v>
      </c>
      <c r="J142" s="19">
        <f t="shared" si="9"/>
        <v>905.26315789473676</v>
      </c>
      <c r="K142" s="19">
        <f t="shared" si="10"/>
        <v>640.42553191489367</v>
      </c>
      <c r="L142" s="19">
        <f t="shared" si="11"/>
        <v>483.5341365461847</v>
      </c>
    </row>
    <row r="143" spans="1:12" ht="15" thickBot="1" x14ac:dyDescent="0.35">
      <c r="A143" s="6">
        <v>1380</v>
      </c>
      <c r="B143" s="9" t="s">
        <v>151</v>
      </c>
      <c r="C143" s="8">
        <v>536</v>
      </c>
      <c r="D143" s="8" t="s">
        <v>447</v>
      </c>
      <c r="E143" s="8" t="s">
        <v>793</v>
      </c>
      <c r="F143" s="8">
        <v>19</v>
      </c>
      <c r="G143" s="8" t="s">
        <v>616</v>
      </c>
      <c r="H143" s="20" t="s">
        <v>700</v>
      </c>
      <c r="I143" s="22">
        <f t="shared" si="8"/>
        <v>3915.841584158416</v>
      </c>
      <c r="J143" s="19">
        <f t="shared" si="9"/>
        <v>3323.5294117647059</v>
      </c>
      <c r="K143" s="19">
        <f t="shared" si="10"/>
        <v>2426.3803680981596</v>
      </c>
      <c r="L143" s="19">
        <f t="shared" si="11"/>
        <v>1515.325670498084</v>
      </c>
    </row>
    <row r="144" spans="1:12" ht="15" thickBot="1" x14ac:dyDescent="0.35">
      <c r="A144" s="13">
        <v>1381</v>
      </c>
      <c r="B144" s="14" t="s">
        <v>152</v>
      </c>
      <c r="C144" s="15">
        <v>178</v>
      </c>
      <c r="D144" s="15" t="s">
        <v>448</v>
      </c>
      <c r="E144" s="15" t="s">
        <v>804</v>
      </c>
      <c r="F144" s="15">
        <v>19</v>
      </c>
      <c r="G144" s="15" t="s">
        <v>625</v>
      </c>
      <c r="H144" s="21" t="s">
        <v>698</v>
      </c>
      <c r="I144" s="22">
        <f t="shared" si="8"/>
        <v>2323.8532110091742</v>
      </c>
      <c r="J144" s="19">
        <f t="shared" si="9"/>
        <v>2128.5714285714284</v>
      </c>
      <c r="K144" s="19">
        <f t="shared" si="10"/>
        <v>1563.5802469135801</v>
      </c>
      <c r="L144" s="19">
        <f t="shared" si="11"/>
        <v>963.11787072243351</v>
      </c>
    </row>
    <row r="145" spans="1:12" ht="15" thickBot="1" x14ac:dyDescent="0.35">
      <c r="A145" s="6">
        <v>1382</v>
      </c>
      <c r="B145" s="9" t="s">
        <v>153</v>
      </c>
      <c r="C145" s="8">
        <v>283</v>
      </c>
      <c r="D145" s="8" t="s">
        <v>449</v>
      </c>
      <c r="E145" s="8" t="s">
        <v>802</v>
      </c>
      <c r="F145" s="8">
        <v>31</v>
      </c>
      <c r="G145" s="8" t="s">
        <v>642</v>
      </c>
      <c r="H145" s="20" t="s">
        <v>738</v>
      </c>
      <c r="I145" s="22">
        <f t="shared" si="8"/>
        <v>3188.7850467289718</v>
      </c>
      <c r="J145" s="19">
        <f t="shared" si="9"/>
        <v>2604.5801526717555</v>
      </c>
      <c r="K145" s="19">
        <f t="shared" si="10"/>
        <v>1786.3874345549737</v>
      </c>
      <c r="L145" s="19">
        <f t="shared" si="11"/>
        <v>1053.0864197530864</v>
      </c>
    </row>
    <row r="146" spans="1:12" ht="15" thickBot="1" x14ac:dyDescent="0.35">
      <c r="A146" s="13">
        <v>1383</v>
      </c>
      <c r="B146" s="14" t="s">
        <v>154</v>
      </c>
      <c r="C146" s="15">
        <v>381</v>
      </c>
      <c r="D146" s="15" t="s">
        <v>450</v>
      </c>
      <c r="E146" s="15" t="s">
        <v>792</v>
      </c>
      <c r="F146" s="15">
        <v>23</v>
      </c>
      <c r="G146" s="15" t="s">
        <v>627</v>
      </c>
      <c r="H146" s="21" t="s">
        <v>710</v>
      </c>
      <c r="I146" s="22">
        <f t="shared" si="8"/>
        <v>4218.6274509803925</v>
      </c>
      <c r="J146" s="19">
        <f t="shared" si="9"/>
        <v>3498.3739837398375</v>
      </c>
      <c r="K146" s="19">
        <f t="shared" si="10"/>
        <v>2472.9885057471265</v>
      </c>
      <c r="L146" s="19">
        <f t="shared" si="11"/>
        <v>1483.7931034482758</v>
      </c>
    </row>
    <row r="147" spans="1:12" ht="15" thickBot="1" x14ac:dyDescent="0.35">
      <c r="A147" s="6">
        <v>1384</v>
      </c>
      <c r="B147" s="9" t="s">
        <v>155</v>
      </c>
      <c r="C147" s="8">
        <v>678</v>
      </c>
      <c r="D147" s="8" t="s">
        <v>451</v>
      </c>
      <c r="E147" s="8" t="s">
        <v>796</v>
      </c>
      <c r="F147" s="8">
        <v>21</v>
      </c>
      <c r="G147" s="8" t="s">
        <v>616</v>
      </c>
      <c r="H147" s="20" t="s">
        <v>694</v>
      </c>
      <c r="I147" s="22">
        <f t="shared" si="8"/>
        <v>5586.4077669902908</v>
      </c>
      <c r="J147" s="19">
        <f t="shared" si="9"/>
        <v>4755.3719008264461</v>
      </c>
      <c r="K147" s="19">
        <f t="shared" si="10"/>
        <v>3530.0613496932519</v>
      </c>
      <c r="L147" s="19">
        <f t="shared" si="11"/>
        <v>2230.2325581395348</v>
      </c>
    </row>
    <row r="148" spans="1:12" ht="28.2" thickBot="1" x14ac:dyDescent="0.35">
      <c r="A148" s="13"/>
      <c r="B148" s="16" t="s">
        <v>156</v>
      </c>
      <c r="C148" s="15"/>
      <c r="D148" s="15" t="s">
        <v>324</v>
      </c>
      <c r="E148" s="15" t="s">
        <v>324</v>
      </c>
      <c r="F148" s="15"/>
      <c r="G148" s="15" t="s">
        <v>324</v>
      </c>
      <c r="H148" s="21" t="s">
        <v>324</v>
      </c>
      <c r="I148" s="22" t="e">
        <f t="shared" si="8"/>
        <v>#VALUE!</v>
      </c>
      <c r="J148" s="19" t="e">
        <f t="shared" si="9"/>
        <v>#VALUE!</v>
      </c>
      <c r="K148" s="19" t="e">
        <f t="shared" si="10"/>
        <v>#VALUE!</v>
      </c>
      <c r="L148" s="19" t="e">
        <f t="shared" si="11"/>
        <v>#VALUE!</v>
      </c>
    </row>
    <row r="149" spans="1:12" ht="15" thickBot="1" x14ac:dyDescent="0.35">
      <c r="A149" s="6">
        <v>1401</v>
      </c>
      <c r="B149" s="9" t="s">
        <v>157</v>
      </c>
      <c r="C149" s="8">
        <v>272</v>
      </c>
      <c r="D149" s="8" t="s">
        <v>452</v>
      </c>
      <c r="E149" s="8" t="s">
        <v>794</v>
      </c>
      <c r="F149" s="8">
        <v>15</v>
      </c>
      <c r="G149" s="8" t="s">
        <v>611</v>
      </c>
      <c r="H149" s="20" t="s">
        <v>739</v>
      </c>
      <c r="I149" s="22">
        <f t="shared" si="8"/>
        <v>4929.8076923076924</v>
      </c>
      <c r="J149" s="19">
        <f t="shared" si="9"/>
        <v>4458.2608695652179</v>
      </c>
      <c r="K149" s="19">
        <f t="shared" si="10"/>
        <v>3265.6050955414016</v>
      </c>
      <c r="L149" s="19">
        <f t="shared" si="11"/>
        <v>1927.4436090225563</v>
      </c>
    </row>
    <row r="150" spans="1:12" ht="15" thickBot="1" x14ac:dyDescent="0.35">
      <c r="A150" s="13">
        <v>1402</v>
      </c>
      <c r="B150" s="14" t="s">
        <v>158</v>
      </c>
      <c r="C150" s="15">
        <v>213</v>
      </c>
      <c r="D150" s="15" t="s">
        <v>453</v>
      </c>
      <c r="E150" s="15" t="s">
        <v>792</v>
      </c>
      <c r="F150" s="15">
        <v>13</v>
      </c>
      <c r="G150" s="15" t="s">
        <v>609</v>
      </c>
      <c r="H150" s="21" t="s">
        <v>713</v>
      </c>
      <c r="I150" s="22">
        <f t="shared" si="8"/>
        <v>6020.5882352941171</v>
      </c>
      <c r="J150" s="19">
        <f t="shared" si="9"/>
        <v>5434.5132743362838</v>
      </c>
      <c r="K150" s="19">
        <f t="shared" si="10"/>
        <v>3936.5384615384614</v>
      </c>
      <c r="L150" s="19">
        <f t="shared" si="11"/>
        <v>2201.0752688172042</v>
      </c>
    </row>
    <row r="151" spans="1:12" ht="15" thickBot="1" x14ac:dyDescent="0.35">
      <c r="A151" s="6">
        <v>1407</v>
      </c>
      <c r="B151" s="9" t="s">
        <v>159</v>
      </c>
      <c r="C151" s="8">
        <v>106</v>
      </c>
      <c r="D151" s="8" t="s">
        <v>454</v>
      </c>
      <c r="E151" s="8">
        <v>-6</v>
      </c>
      <c r="F151" s="8">
        <v>13</v>
      </c>
      <c r="G151" s="8" t="s">
        <v>606</v>
      </c>
      <c r="H151" s="20" t="s">
        <v>667</v>
      </c>
      <c r="I151" s="22">
        <f t="shared" si="8"/>
        <v>6178.7234042553191</v>
      </c>
      <c r="J151" s="19">
        <f t="shared" si="9"/>
        <v>5139.8230088495584</v>
      </c>
      <c r="K151" s="19">
        <f t="shared" si="10"/>
        <v>3821.0526315789475</v>
      </c>
      <c r="L151" s="19">
        <f t="shared" si="11"/>
        <v>2323.1999999999998</v>
      </c>
    </row>
    <row r="152" spans="1:12" ht="15" thickBot="1" x14ac:dyDescent="0.35">
      <c r="A152" s="13">
        <v>1415</v>
      </c>
      <c r="B152" s="14" t="s">
        <v>160</v>
      </c>
      <c r="C152" s="15">
        <v>202</v>
      </c>
      <c r="D152" s="15" t="s">
        <v>455</v>
      </c>
      <c r="E152" s="15">
        <v>-6</v>
      </c>
      <c r="F152" s="15">
        <v>15</v>
      </c>
      <c r="G152" s="15" t="s">
        <v>621</v>
      </c>
      <c r="H152" s="21" t="s">
        <v>740</v>
      </c>
      <c r="I152" s="22">
        <f t="shared" si="8"/>
        <v>4813.8297872340427</v>
      </c>
      <c r="J152" s="19">
        <f t="shared" si="9"/>
        <v>3934.7826086956525</v>
      </c>
      <c r="K152" s="19">
        <f t="shared" si="10"/>
        <v>2810.5590062111805</v>
      </c>
      <c r="L152" s="19">
        <f t="shared" si="11"/>
        <v>1682.1561338289964</v>
      </c>
    </row>
    <row r="153" spans="1:12" ht="15" thickBot="1" x14ac:dyDescent="0.35">
      <c r="A153" s="6">
        <v>1419</v>
      </c>
      <c r="B153" s="9" t="s">
        <v>161</v>
      </c>
      <c r="C153" s="8">
        <v>122</v>
      </c>
      <c r="D153" s="8" t="s">
        <v>456</v>
      </c>
      <c r="E153" s="8">
        <v>-2</v>
      </c>
      <c r="F153" s="8">
        <v>21</v>
      </c>
      <c r="G153" s="8" t="s">
        <v>624</v>
      </c>
      <c r="H153" s="20" t="s">
        <v>714</v>
      </c>
      <c r="I153" s="22">
        <f t="shared" si="8"/>
        <v>4136.7346938775509</v>
      </c>
      <c r="J153" s="19">
        <f t="shared" si="9"/>
        <v>3350.413223140496</v>
      </c>
      <c r="K153" s="19">
        <f t="shared" si="10"/>
        <v>2427.5449101796407</v>
      </c>
      <c r="L153" s="19">
        <f t="shared" si="11"/>
        <v>1474.1818181818182</v>
      </c>
    </row>
    <row r="154" spans="1:12" ht="15" thickBot="1" x14ac:dyDescent="0.35">
      <c r="A154" s="13">
        <v>1421</v>
      </c>
      <c r="B154" s="14" t="s">
        <v>162</v>
      </c>
      <c r="C154" s="15">
        <v>125</v>
      </c>
      <c r="D154" s="15" t="s">
        <v>457</v>
      </c>
      <c r="E154" s="15" t="s">
        <v>792</v>
      </c>
      <c r="F154" s="15">
        <v>21</v>
      </c>
      <c r="G154" s="15" t="s">
        <v>646</v>
      </c>
      <c r="H154" s="21" t="s">
        <v>702</v>
      </c>
      <c r="I154" s="22">
        <f t="shared" si="8"/>
        <v>3187.2549019607841</v>
      </c>
      <c r="J154" s="19">
        <f t="shared" si="9"/>
        <v>2686.7768595041325</v>
      </c>
      <c r="K154" s="19">
        <f t="shared" si="10"/>
        <v>2031.875</v>
      </c>
      <c r="L154" s="19">
        <f t="shared" si="11"/>
        <v>1177.8985507246377</v>
      </c>
    </row>
    <row r="155" spans="1:12" ht="15" thickBot="1" x14ac:dyDescent="0.35">
      <c r="A155" s="6">
        <v>1427</v>
      </c>
      <c r="B155" s="9" t="s">
        <v>163</v>
      </c>
      <c r="C155" s="8">
        <v>59</v>
      </c>
      <c r="D155" s="8" t="s">
        <v>458</v>
      </c>
      <c r="E155" s="8" t="s">
        <v>792</v>
      </c>
      <c r="F155" s="8">
        <v>27</v>
      </c>
      <c r="G155" s="8" t="s">
        <v>632</v>
      </c>
      <c r="H155" s="20" t="s">
        <v>741</v>
      </c>
      <c r="I155" s="22">
        <f t="shared" si="8"/>
        <v>4755.8823529411766</v>
      </c>
      <c r="J155" s="19">
        <f t="shared" si="9"/>
        <v>3819.6850393700788</v>
      </c>
      <c r="K155" s="19">
        <f t="shared" si="10"/>
        <v>3050.9433962264152</v>
      </c>
      <c r="L155" s="19">
        <f t="shared" si="11"/>
        <v>1520.6896551724137</v>
      </c>
    </row>
    <row r="156" spans="1:12" ht="15" thickBot="1" x14ac:dyDescent="0.35">
      <c r="A156" s="13">
        <v>1430</v>
      </c>
      <c r="B156" s="14" t="s">
        <v>164</v>
      </c>
      <c r="C156" s="15">
        <v>85</v>
      </c>
      <c r="D156" s="15" t="s">
        <v>459</v>
      </c>
      <c r="E156" s="15">
        <v>-2</v>
      </c>
      <c r="F156" s="15">
        <v>25</v>
      </c>
      <c r="G156" s="15" t="s">
        <v>618</v>
      </c>
      <c r="H156" s="21" t="s">
        <v>664</v>
      </c>
      <c r="I156" s="22">
        <f t="shared" si="8"/>
        <v>1784.6938775510205</v>
      </c>
      <c r="J156" s="19">
        <f t="shared" si="9"/>
        <v>1399.2</v>
      </c>
      <c r="K156" s="19">
        <f t="shared" si="10"/>
        <v>1066.4634146341461</v>
      </c>
      <c r="L156" s="19">
        <f t="shared" si="11"/>
        <v>662.50000000000011</v>
      </c>
    </row>
    <row r="157" spans="1:12" ht="15" thickBot="1" x14ac:dyDescent="0.35">
      <c r="A157" s="6">
        <v>1435</v>
      </c>
      <c r="B157" s="9" t="s">
        <v>165</v>
      </c>
      <c r="C157" s="8">
        <v>87</v>
      </c>
      <c r="D157" s="8" t="s">
        <v>460</v>
      </c>
      <c r="E157" s="8" t="s">
        <v>796</v>
      </c>
      <c r="F157" s="8">
        <v>20</v>
      </c>
      <c r="G157" s="8" t="s">
        <v>647</v>
      </c>
      <c r="H157" s="20" t="s">
        <v>742</v>
      </c>
      <c r="I157" s="22">
        <f t="shared" si="8"/>
        <v>3145.6310679611652</v>
      </c>
      <c r="J157" s="19">
        <f t="shared" si="9"/>
        <v>2700</v>
      </c>
      <c r="K157" s="19">
        <f t="shared" si="10"/>
        <v>2250</v>
      </c>
      <c r="L157" s="19">
        <f t="shared" si="11"/>
        <v>1222.6415094339623</v>
      </c>
    </row>
    <row r="158" spans="1:12" ht="15" thickBot="1" x14ac:dyDescent="0.35">
      <c r="A158" s="13">
        <v>1438</v>
      </c>
      <c r="B158" s="14" t="s">
        <v>166</v>
      </c>
      <c r="C158" s="15">
        <v>27</v>
      </c>
      <c r="D158" s="15" t="s">
        <v>461</v>
      </c>
      <c r="E158" s="15">
        <v>-8</v>
      </c>
      <c r="F158" s="15">
        <v>3</v>
      </c>
      <c r="G158" s="15" t="s">
        <v>648</v>
      </c>
      <c r="H158" s="21" t="s">
        <v>601</v>
      </c>
      <c r="I158" s="22">
        <f t="shared" si="8"/>
        <v>1406.5217391304348</v>
      </c>
      <c r="J158" s="19">
        <f t="shared" si="9"/>
        <v>1256.3106796116504</v>
      </c>
      <c r="K158" s="19">
        <f t="shared" si="10"/>
        <v>958.51851851851848</v>
      </c>
      <c r="L158" s="19">
        <f t="shared" si="11"/>
        <v>663.58974358974365</v>
      </c>
    </row>
    <row r="159" spans="1:12" ht="15" thickBot="1" x14ac:dyDescent="0.35">
      <c r="A159" s="6">
        <v>1439</v>
      </c>
      <c r="B159" s="9" t="s">
        <v>167</v>
      </c>
      <c r="C159" s="8">
        <v>31</v>
      </c>
      <c r="D159" s="8" t="s">
        <v>462</v>
      </c>
      <c r="E159" s="8" t="s">
        <v>795</v>
      </c>
      <c r="F159" s="8">
        <v>40</v>
      </c>
      <c r="G159" s="8" t="s">
        <v>643</v>
      </c>
      <c r="H159" s="20" t="s">
        <v>663</v>
      </c>
      <c r="I159" s="22">
        <f t="shared" si="8"/>
        <v>1124.0740740740739</v>
      </c>
      <c r="J159" s="19">
        <f t="shared" si="9"/>
        <v>867.14285714285722</v>
      </c>
      <c r="K159" s="19">
        <f t="shared" si="10"/>
        <v>667.03296703296712</v>
      </c>
      <c r="L159" s="19">
        <f t="shared" si="11"/>
        <v>483.66533864541839</v>
      </c>
    </row>
    <row r="160" spans="1:12" ht="15" thickBot="1" x14ac:dyDescent="0.35">
      <c r="A160" s="13">
        <v>1440</v>
      </c>
      <c r="B160" s="14" t="s">
        <v>168</v>
      </c>
      <c r="C160" s="15">
        <v>223</v>
      </c>
      <c r="D160" s="15" t="s">
        <v>463</v>
      </c>
      <c r="E160" s="15">
        <v>-1</v>
      </c>
      <c r="F160" s="15">
        <v>10</v>
      </c>
      <c r="G160" s="15" t="s">
        <v>632</v>
      </c>
      <c r="H160" s="21" t="s">
        <v>676</v>
      </c>
      <c r="I160" s="22">
        <f t="shared" si="8"/>
        <v>3917.1717171717173</v>
      </c>
      <c r="J160" s="19">
        <f t="shared" si="9"/>
        <v>3525.454545454545</v>
      </c>
      <c r="K160" s="19">
        <f t="shared" si="10"/>
        <v>2438.9937106918242</v>
      </c>
      <c r="L160" s="19">
        <f t="shared" si="11"/>
        <v>1452.4344569288389</v>
      </c>
    </row>
    <row r="161" spans="1:12" ht="15" thickBot="1" x14ac:dyDescent="0.35">
      <c r="A161" s="6">
        <v>1441</v>
      </c>
      <c r="B161" s="9" t="s">
        <v>169</v>
      </c>
      <c r="C161" s="8">
        <v>398</v>
      </c>
      <c r="D161" s="8" t="s">
        <v>464</v>
      </c>
      <c r="E161" s="8">
        <v>-1</v>
      </c>
      <c r="F161" s="8">
        <v>13</v>
      </c>
      <c r="G161" s="8" t="s">
        <v>625</v>
      </c>
      <c r="H161" s="20" t="s">
        <v>734</v>
      </c>
      <c r="I161" s="22">
        <f t="shared" si="8"/>
        <v>4511.1111111111113</v>
      </c>
      <c r="J161" s="19">
        <f t="shared" si="9"/>
        <v>3952.2123893805315</v>
      </c>
      <c r="K161" s="19">
        <f t="shared" si="10"/>
        <v>2756.7901234567898</v>
      </c>
      <c r="L161" s="19">
        <f t="shared" si="11"/>
        <v>1737.7431906614784</v>
      </c>
    </row>
    <row r="162" spans="1:12" ht="15" thickBot="1" x14ac:dyDescent="0.35">
      <c r="A162" s="13">
        <v>1442</v>
      </c>
      <c r="B162" s="14" t="s">
        <v>170</v>
      </c>
      <c r="C162" s="15">
        <v>83</v>
      </c>
      <c r="D162" s="15" t="s">
        <v>465</v>
      </c>
      <c r="E162" s="15">
        <v>-3</v>
      </c>
      <c r="F162" s="15">
        <v>21</v>
      </c>
      <c r="G162" s="15" t="s">
        <v>631</v>
      </c>
      <c r="H162" s="21" t="s">
        <v>664</v>
      </c>
      <c r="I162" s="22">
        <f t="shared" si="8"/>
        <v>2762.8865979381444</v>
      </c>
      <c r="J162" s="19">
        <f t="shared" si="9"/>
        <v>2214.8760330578511</v>
      </c>
      <c r="K162" s="19">
        <f t="shared" si="10"/>
        <v>1514.1242937853108</v>
      </c>
      <c r="L162" s="19">
        <f t="shared" si="11"/>
        <v>1015.1515151515152</v>
      </c>
    </row>
    <row r="163" spans="1:12" ht="15" thickBot="1" x14ac:dyDescent="0.35">
      <c r="A163" s="6">
        <v>1443</v>
      </c>
      <c r="B163" s="9" t="s">
        <v>171</v>
      </c>
      <c r="C163" s="8">
        <v>76</v>
      </c>
      <c r="D163" s="8" t="s">
        <v>466</v>
      </c>
      <c r="E163" s="8" t="s">
        <v>793</v>
      </c>
      <c r="F163" s="8">
        <v>7</v>
      </c>
      <c r="G163" s="8" t="s">
        <v>625</v>
      </c>
      <c r="H163" s="20" t="s">
        <v>662</v>
      </c>
      <c r="I163" s="22">
        <f t="shared" si="8"/>
        <v>3380.1980198019801</v>
      </c>
      <c r="J163" s="19">
        <f t="shared" si="9"/>
        <v>3190.6542056074763</v>
      </c>
      <c r="K163" s="19">
        <f t="shared" si="10"/>
        <v>2107.4074074074074</v>
      </c>
      <c r="L163" s="19">
        <f t="shared" si="11"/>
        <v>1416.5975103734438</v>
      </c>
    </row>
    <row r="164" spans="1:12" ht="15" thickBot="1" x14ac:dyDescent="0.35">
      <c r="A164" s="13">
        <v>1444</v>
      </c>
      <c r="B164" s="14" t="s">
        <v>172</v>
      </c>
      <c r="C164" s="15">
        <v>48</v>
      </c>
      <c r="D164" s="15" t="s">
        <v>467</v>
      </c>
      <c r="E164" s="15" t="s">
        <v>798</v>
      </c>
      <c r="F164" s="15">
        <v>23</v>
      </c>
      <c r="G164" s="15" t="s">
        <v>600</v>
      </c>
      <c r="H164" s="21" t="s">
        <v>681</v>
      </c>
      <c r="I164" s="22">
        <f t="shared" si="8"/>
        <v>1666.6666666666665</v>
      </c>
      <c r="J164" s="19">
        <f t="shared" si="9"/>
        <v>1422.7642276422764</v>
      </c>
      <c r="K164" s="19">
        <f t="shared" si="10"/>
        <v>966.85082872928172</v>
      </c>
      <c r="L164" s="19">
        <f t="shared" si="11"/>
        <v>559.10543130990413</v>
      </c>
    </row>
    <row r="165" spans="1:12" ht="15" thickBot="1" x14ac:dyDescent="0.35">
      <c r="A165" s="6">
        <v>1445</v>
      </c>
      <c r="B165" s="9" t="s">
        <v>173</v>
      </c>
      <c r="C165" s="8">
        <v>33</v>
      </c>
      <c r="D165" s="8" t="s">
        <v>468</v>
      </c>
      <c r="E165" s="8" t="s">
        <v>799</v>
      </c>
      <c r="F165" s="8">
        <v>36</v>
      </c>
      <c r="G165" s="8" t="s">
        <v>639</v>
      </c>
      <c r="H165" s="20" t="s">
        <v>661</v>
      </c>
      <c r="I165" s="22">
        <f t="shared" si="8"/>
        <v>1596</v>
      </c>
      <c r="J165" s="19">
        <f t="shared" si="9"/>
        <v>1173.5294117647061</v>
      </c>
      <c r="K165" s="19">
        <f t="shared" si="10"/>
        <v>814.28571428571433</v>
      </c>
      <c r="L165" s="19">
        <f t="shared" si="11"/>
        <v>595.5223880597016</v>
      </c>
    </row>
    <row r="166" spans="1:12" ht="15" thickBot="1" x14ac:dyDescent="0.35">
      <c r="A166" s="13">
        <v>1446</v>
      </c>
      <c r="B166" s="14" t="s">
        <v>174</v>
      </c>
      <c r="C166" s="15">
        <v>54</v>
      </c>
      <c r="D166" s="15" t="s">
        <v>445</v>
      </c>
      <c r="E166" s="15" t="s">
        <v>793</v>
      </c>
      <c r="F166" s="15">
        <v>28</v>
      </c>
      <c r="G166" s="15" t="s">
        <v>639</v>
      </c>
      <c r="H166" s="21" t="s">
        <v>743</v>
      </c>
      <c r="I166" s="22">
        <f t="shared" si="8"/>
        <v>1853.4653465346535</v>
      </c>
      <c r="J166" s="19">
        <f t="shared" si="9"/>
        <v>1462.5</v>
      </c>
      <c r="K166" s="19">
        <f t="shared" si="10"/>
        <v>955.10204081632651</v>
      </c>
      <c r="L166" s="19">
        <f t="shared" si="11"/>
        <v>539.48126801152739</v>
      </c>
    </row>
    <row r="167" spans="1:12" ht="15" thickBot="1" x14ac:dyDescent="0.35">
      <c r="A167" s="6">
        <v>1447</v>
      </c>
      <c r="B167" s="9" t="s">
        <v>175</v>
      </c>
      <c r="C167" s="8">
        <v>54</v>
      </c>
      <c r="D167" s="8" t="s">
        <v>469</v>
      </c>
      <c r="E167" s="8" t="s">
        <v>794</v>
      </c>
      <c r="F167" s="8">
        <v>37</v>
      </c>
      <c r="G167" s="8" t="s">
        <v>719</v>
      </c>
      <c r="H167" s="20" t="s">
        <v>709</v>
      </c>
      <c r="I167" s="22">
        <f t="shared" si="8"/>
        <v>950.96153846153845</v>
      </c>
      <c r="J167" s="19">
        <f t="shared" si="9"/>
        <v>721.89781021897807</v>
      </c>
      <c r="K167" s="19">
        <f t="shared" si="10"/>
        <v>492.0398009950249</v>
      </c>
      <c r="L167" s="19">
        <f t="shared" si="11"/>
        <v>360.94890510948903</v>
      </c>
    </row>
    <row r="168" spans="1:12" ht="15" thickBot="1" x14ac:dyDescent="0.35">
      <c r="A168" s="13">
        <v>1452</v>
      </c>
      <c r="B168" s="14" t="s">
        <v>176</v>
      </c>
      <c r="C168" s="15">
        <v>92</v>
      </c>
      <c r="D168" s="15" t="s">
        <v>470</v>
      </c>
      <c r="E168" s="15" t="s">
        <v>794</v>
      </c>
      <c r="F168" s="15">
        <v>27</v>
      </c>
      <c r="G168" s="15" t="s">
        <v>705</v>
      </c>
      <c r="H168" s="21" t="s">
        <v>744</v>
      </c>
      <c r="I168" s="22">
        <f t="shared" si="8"/>
        <v>1334.6153846153845</v>
      </c>
      <c r="J168" s="19">
        <f t="shared" si="9"/>
        <v>1092.9133858267717</v>
      </c>
      <c r="K168" s="19">
        <f t="shared" si="10"/>
        <v>694</v>
      </c>
      <c r="L168" s="19">
        <f t="shared" si="11"/>
        <v>458.0858085808581</v>
      </c>
    </row>
    <row r="169" spans="1:12" ht="15" thickBot="1" x14ac:dyDescent="0.35">
      <c r="A169" s="6">
        <v>1460</v>
      </c>
      <c r="B169" s="9" t="s">
        <v>177</v>
      </c>
      <c r="C169" s="8">
        <v>75</v>
      </c>
      <c r="D169" s="8" t="s">
        <v>471</v>
      </c>
      <c r="E169" s="8">
        <v>-6</v>
      </c>
      <c r="F169" s="8">
        <v>22</v>
      </c>
      <c r="G169" s="8" t="s">
        <v>608</v>
      </c>
      <c r="H169" s="20" t="s">
        <v>745</v>
      </c>
      <c r="I169" s="22">
        <f t="shared" si="8"/>
        <v>1069.1489361702129</v>
      </c>
      <c r="J169" s="19">
        <f t="shared" si="9"/>
        <v>823.77049180327867</v>
      </c>
      <c r="K169" s="19">
        <f t="shared" si="10"/>
        <v>702.79720279720277</v>
      </c>
      <c r="L169" s="19">
        <f t="shared" si="11"/>
        <v>480.86124401913878</v>
      </c>
    </row>
    <row r="170" spans="1:12" ht="15" thickBot="1" x14ac:dyDescent="0.35">
      <c r="A170" s="13">
        <v>1461</v>
      </c>
      <c r="B170" s="14" t="s">
        <v>178</v>
      </c>
      <c r="C170" s="15">
        <v>62</v>
      </c>
      <c r="D170" s="15" t="s">
        <v>472</v>
      </c>
      <c r="E170" s="15" t="s">
        <v>808</v>
      </c>
      <c r="F170" s="15">
        <v>33</v>
      </c>
      <c r="G170" s="15" t="s">
        <v>600</v>
      </c>
      <c r="H170" s="21" t="s">
        <v>676</v>
      </c>
      <c r="I170" s="22">
        <f t="shared" si="8"/>
        <v>1364.9122807017543</v>
      </c>
      <c r="J170" s="19">
        <f t="shared" si="9"/>
        <v>1169.9248120300751</v>
      </c>
      <c r="K170" s="19">
        <f t="shared" si="10"/>
        <v>859.66850828729275</v>
      </c>
      <c r="L170" s="19">
        <f t="shared" si="11"/>
        <v>582.77153558052441</v>
      </c>
    </row>
    <row r="171" spans="1:12" ht="15" thickBot="1" x14ac:dyDescent="0.35">
      <c r="A171" s="6">
        <v>1462</v>
      </c>
      <c r="B171" s="9" t="s">
        <v>179</v>
      </c>
      <c r="C171" s="8">
        <v>129</v>
      </c>
      <c r="D171" s="8" t="s">
        <v>473</v>
      </c>
      <c r="E171" s="8" t="s">
        <v>793</v>
      </c>
      <c r="F171" s="8">
        <v>10</v>
      </c>
      <c r="G171" s="8" t="s">
        <v>640</v>
      </c>
      <c r="H171" s="20" t="s">
        <v>679</v>
      </c>
      <c r="I171" s="22">
        <f t="shared" si="8"/>
        <v>2292.0792079207922</v>
      </c>
      <c r="J171" s="19">
        <f t="shared" si="9"/>
        <v>2104.5454545454545</v>
      </c>
      <c r="K171" s="19">
        <f t="shared" si="10"/>
        <v>1300.5617977528091</v>
      </c>
      <c r="L171" s="19">
        <f t="shared" si="11"/>
        <v>779.46127946127956</v>
      </c>
    </row>
    <row r="172" spans="1:12" ht="15" thickBot="1" x14ac:dyDescent="0.35">
      <c r="A172" s="13">
        <v>1463</v>
      </c>
      <c r="B172" s="14" t="s">
        <v>180</v>
      </c>
      <c r="C172" s="15">
        <v>219</v>
      </c>
      <c r="D172" s="15" t="s">
        <v>474</v>
      </c>
      <c r="E172" s="15">
        <v>-1</v>
      </c>
      <c r="F172" s="15">
        <v>13</v>
      </c>
      <c r="G172" s="15" t="s">
        <v>649</v>
      </c>
      <c r="H172" s="21" t="s">
        <v>683</v>
      </c>
      <c r="I172" s="22">
        <f t="shared" si="8"/>
        <v>2361.6161616161617</v>
      </c>
      <c r="J172" s="19">
        <f t="shared" si="9"/>
        <v>2069.0265486725666</v>
      </c>
      <c r="K172" s="19">
        <f t="shared" si="10"/>
        <v>1250.2673796791444</v>
      </c>
      <c r="L172" s="19">
        <f t="shared" si="11"/>
        <v>859.55882352941182</v>
      </c>
    </row>
    <row r="173" spans="1:12" ht="15" thickBot="1" x14ac:dyDescent="0.35">
      <c r="A173" s="6">
        <v>1465</v>
      </c>
      <c r="B173" s="9" t="s">
        <v>181</v>
      </c>
      <c r="C173" s="8">
        <v>92</v>
      </c>
      <c r="D173" s="8" t="s">
        <v>475</v>
      </c>
      <c r="E173" s="8" t="s">
        <v>796</v>
      </c>
      <c r="F173" s="8">
        <v>22</v>
      </c>
      <c r="G173" s="8" t="s">
        <v>637</v>
      </c>
      <c r="H173" s="20" t="s">
        <v>746</v>
      </c>
      <c r="I173" s="22">
        <f t="shared" si="8"/>
        <v>1722.3300970873786</v>
      </c>
      <c r="J173" s="19">
        <f t="shared" si="9"/>
        <v>1454.0983606557377</v>
      </c>
      <c r="K173" s="19">
        <f t="shared" si="10"/>
        <v>1013.7142857142857</v>
      </c>
      <c r="L173" s="19">
        <f t="shared" si="11"/>
        <v>624.64788732394368</v>
      </c>
    </row>
    <row r="174" spans="1:12" ht="15" thickBot="1" x14ac:dyDescent="0.35">
      <c r="A174" s="13">
        <v>1466</v>
      </c>
      <c r="B174" s="14" t="s">
        <v>182</v>
      </c>
      <c r="C174" s="15">
        <v>61</v>
      </c>
      <c r="D174" s="15" t="s">
        <v>476</v>
      </c>
      <c r="E174" s="15" t="s">
        <v>809</v>
      </c>
      <c r="F174" s="15">
        <v>35</v>
      </c>
      <c r="G174" s="15" t="s">
        <v>622</v>
      </c>
      <c r="H174" s="21" t="s">
        <v>747</v>
      </c>
      <c r="I174" s="22">
        <f t="shared" si="8"/>
        <v>1561.7886178861788</v>
      </c>
      <c r="J174" s="19">
        <f t="shared" si="9"/>
        <v>1422.9629629629628</v>
      </c>
      <c r="K174" s="19">
        <f t="shared" si="10"/>
        <v>1011.0526315789474</v>
      </c>
      <c r="L174" s="19">
        <f t="shared" si="11"/>
        <v>589.2638036809816</v>
      </c>
    </row>
    <row r="175" spans="1:12" ht="15" thickBot="1" x14ac:dyDescent="0.35">
      <c r="A175" s="6">
        <v>1470</v>
      </c>
      <c r="B175" s="9" t="s">
        <v>183</v>
      </c>
      <c r="C175" s="8">
        <v>117</v>
      </c>
      <c r="D175" s="8" t="s">
        <v>477</v>
      </c>
      <c r="E175" s="8">
        <v>-1</v>
      </c>
      <c r="F175" s="8">
        <v>18</v>
      </c>
      <c r="G175" s="8" t="s">
        <v>650</v>
      </c>
      <c r="H175" s="20" t="s">
        <v>710</v>
      </c>
      <c r="I175" s="22">
        <f t="shared" si="8"/>
        <v>1320.2020202020203</v>
      </c>
      <c r="J175" s="19">
        <f t="shared" si="9"/>
        <v>1107.6271186440679</v>
      </c>
      <c r="K175" s="19">
        <f t="shared" si="10"/>
        <v>673.71134020618558</v>
      </c>
      <c r="L175" s="19">
        <f t="shared" si="11"/>
        <v>450.68965517241378</v>
      </c>
    </row>
    <row r="176" spans="1:12" ht="15" thickBot="1" x14ac:dyDescent="0.35">
      <c r="A176" s="13">
        <v>1471</v>
      </c>
      <c r="B176" s="14" t="s">
        <v>184</v>
      </c>
      <c r="C176" s="15">
        <v>73</v>
      </c>
      <c r="D176" s="15" t="s">
        <v>478</v>
      </c>
      <c r="E176" s="15" t="s">
        <v>802</v>
      </c>
      <c r="F176" s="15">
        <v>27</v>
      </c>
      <c r="G176" s="15" t="s">
        <v>624</v>
      </c>
      <c r="H176" s="21" t="s">
        <v>683</v>
      </c>
      <c r="I176" s="22">
        <f t="shared" si="8"/>
        <v>1528.9719626168223</v>
      </c>
      <c r="J176" s="19">
        <f t="shared" si="9"/>
        <v>1288.1889763779527</v>
      </c>
      <c r="K176" s="19">
        <f t="shared" si="10"/>
        <v>979.64071856287433</v>
      </c>
      <c r="L176" s="19">
        <f t="shared" si="11"/>
        <v>601.47058823529414</v>
      </c>
    </row>
    <row r="177" spans="1:12" ht="15" thickBot="1" x14ac:dyDescent="0.35">
      <c r="A177" s="6">
        <v>1472</v>
      </c>
      <c r="B177" s="9" t="s">
        <v>185</v>
      </c>
      <c r="C177" s="8">
        <v>81</v>
      </c>
      <c r="D177" s="8" t="s">
        <v>479</v>
      </c>
      <c r="E177" s="8" t="s">
        <v>806</v>
      </c>
      <c r="F177" s="8">
        <v>34</v>
      </c>
      <c r="G177" s="8" t="s">
        <v>781</v>
      </c>
      <c r="H177" s="20" t="s">
        <v>677</v>
      </c>
      <c r="I177" s="22">
        <f t="shared" si="8"/>
        <v>1678.7610619469028</v>
      </c>
      <c r="J177" s="19">
        <f t="shared" si="9"/>
        <v>1415.6716417910447</v>
      </c>
      <c r="K177" s="19">
        <f t="shared" si="10"/>
        <v>934.48275862068954</v>
      </c>
      <c r="L177" s="19">
        <f t="shared" si="11"/>
        <v>640.87837837837833</v>
      </c>
    </row>
    <row r="178" spans="1:12" ht="15" thickBot="1" x14ac:dyDescent="0.35">
      <c r="A178" s="13">
        <v>1473</v>
      </c>
      <c r="B178" s="14" t="s">
        <v>186</v>
      </c>
      <c r="C178" s="15">
        <v>63</v>
      </c>
      <c r="D178" s="15" t="s">
        <v>480</v>
      </c>
      <c r="E178" s="15" t="s">
        <v>795</v>
      </c>
      <c r="F178" s="15">
        <v>36</v>
      </c>
      <c r="G178" s="15" t="s">
        <v>719</v>
      </c>
      <c r="H178" s="21" t="s">
        <v>703</v>
      </c>
      <c r="I178" s="22">
        <f t="shared" si="8"/>
        <v>1230.5555555555554</v>
      </c>
      <c r="J178" s="19">
        <f t="shared" si="9"/>
        <v>977.20588235294122</v>
      </c>
      <c r="K178" s="19">
        <f t="shared" si="10"/>
        <v>661.19402985074635</v>
      </c>
      <c r="L178" s="19">
        <f t="shared" si="11"/>
        <v>435.73770491803282</v>
      </c>
    </row>
    <row r="179" spans="1:12" ht="15" thickBot="1" x14ac:dyDescent="0.35">
      <c r="A179" s="6">
        <v>1480</v>
      </c>
      <c r="B179" s="9" t="s">
        <v>187</v>
      </c>
      <c r="C179" s="8" t="s">
        <v>188</v>
      </c>
      <c r="D179" s="8" t="s">
        <v>481</v>
      </c>
      <c r="E179" s="8" t="s">
        <v>793</v>
      </c>
      <c r="F179" s="8">
        <v>11</v>
      </c>
      <c r="G179" s="8" t="s">
        <v>611</v>
      </c>
      <c r="H179" s="20" t="s">
        <v>683</v>
      </c>
      <c r="I179" s="22">
        <f t="shared" si="8"/>
        <v>6674.257425742574</v>
      </c>
      <c r="J179" s="19">
        <f t="shared" si="9"/>
        <v>6072.9729729729725</v>
      </c>
      <c r="K179" s="19">
        <f t="shared" si="10"/>
        <v>4293.6305732484079</v>
      </c>
      <c r="L179" s="19">
        <f t="shared" si="11"/>
        <v>2478.3088235294122</v>
      </c>
    </row>
    <row r="180" spans="1:12" ht="15" thickBot="1" x14ac:dyDescent="0.35">
      <c r="A180" s="13">
        <v>1481</v>
      </c>
      <c r="B180" s="14" t="s">
        <v>189</v>
      </c>
      <c r="C180" s="15">
        <v>358</v>
      </c>
      <c r="D180" s="15" t="s">
        <v>482</v>
      </c>
      <c r="E180" s="15" t="s">
        <v>796</v>
      </c>
      <c r="F180" s="15">
        <v>15</v>
      </c>
      <c r="G180" s="15" t="s">
        <v>625</v>
      </c>
      <c r="H180" s="21" t="s">
        <v>683</v>
      </c>
      <c r="I180" s="22">
        <f t="shared" si="8"/>
        <v>5740.7766990291257</v>
      </c>
      <c r="J180" s="19">
        <f t="shared" si="9"/>
        <v>5141.739130434783</v>
      </c>
      <c r="K180" s="19">
        <f t="shared" si="10"/>
        <v>3649.9999999999995</v>
      </c>
      <c r="L180" s="19">
        <f t="shared" si="11"/>
        <v>2173.8970588235297</v>
      </c>
    </row>
    <row r="181" spans="1:12" ht="15" thickBot="1" x14ac:dyDescent="0.35">
      <c r="A181" s="6">
        <v>1482</v>
      </c>
      <c r="B181" s="9" t="s">
        <v>190</v>
      </c>
      <c r="C181" s="8">
        <v>313</v>
      </c>
      <c r="D181" s="8" t="s">
        <v>483</v>
      </c>
      <c r="E181" s="8" t="s">
        <v>792</v>
      </c>
      <c r="F181" s="8">
        <v>13</v>
      </c>
      <c r="G181" s="8" t="s">
        <v>607</v>
      </c>
      <c r="H181" s="20" t="s">
        <v>664</v>
      </c>
      <c r="I181" s="22">
        <f t="shared" si="8"/>
        <v>4851.9607843137255</v>
      </c>
      <c r="J181" s="19">
        <f t="shared" si="9"/>
        <v>4379.6460176991159</v>
      </c>
      <c r="K181" s="19">
        <f t="shared" si="10"/>
        <v>3132.2784810126582</v>
      </c>
      <c r="L181" s="19">
        <f t="shared" si="11"/>
        <v>1874.6212121212122</v>
      </c>
    </row>
    <row r="182" spans="1:12" ht="15" thickBot="1" x14ac:dyDescent="0.35">
      <c r="A182" s="13">
        <v>1484</v>
      </c>
      <c r="B182" s="14" t="s">
        <v>191</v>
      </c>
      <c r="C182" s="15">
        <v>75</v>
      </c>
      <c r="D182" s="15" t="s">
        <v>484</v>
      </c>
      <c r="E182" s="15" t="s">
        <v>808</v>
      </c>
      <c r="F182" s="15">
        <v>42</v>
      </c>
      <c r="G182" s="15" t="s">
        <v>602</v>
      </c>
      <c r="H182" s="21" t="s">
        <v>708</v>
      </c>
      <c r="I182" s="22">
        <f t="shared" si="8"/>
        <v>3087.7192982456136</v>
      </c>
      <c r="J182" s="19">
        <f t="shared" si="9"/>
        <v>2478.8732394366198</v>
      </c>
      <c r="K182" s="19">
        <f t="shared" si="10"/>
        <v>2034.6820809248554</v>
      </c>
      <c r="L182" s="19">
        <f t="shared" si="11"/>
        <v>1193.2203389830509</v>
      </c>
    </row>
    <row r="183" spans="1:12" ht="15" thickBot="1" x14ac:dyDescent="0.35">
      <c r="A183" s="6">
        <v>1485</v>
      </c>
      <c r="B183" s="9" t="s">
        <v>192</v>
      </c>
      <c r="C183" s="8">
        <v>325</v>
      </c>
      <c r="D183" s="8" t="s">
        <v>485</v>
      </c>
      <c r="E183" s="8" t="s">
        <v>797</v>
      </c>
      <c r="F183" s="8">
        <v>22</v>
      </c>
      <c r="G183" s="8" t="s">
        <v>646</v>
      </c>
      <c r="H183" s="20" t="s">
        <v>713</v>
      </c>
      <c r="I183" s="22">
        <f t="shared" si="8"/>
        <v>3150</v>
      </c>
      <c r="J183" s="19">
        <f t="shared" si="9"/>
        <v>2736.8852459016393</v>
      </c>
      <c r="K183" s="19">
        <f t="shared" si="10"/>
        <v>2086.875</v>
      </c>
      <c r="L183" s="19">
        <f t="shared" si="11"/>
        <v>1196.7741935483871</v>
      </c>
    </row>
    <row r="184" spans="1:12" ht="15" thickBot="1" x14ac:dyDescent="0.35">
      <c r="A184" s="13">
        <v>1486</v>
      </c>
      <c r="B184" s="14" t="s">
        <v>193</v>
      </c>
      <c r="C184" s="15">
        <v>76</v>
      </c>
      <c r="D184" s="15" t="s">
        <v>486</v>
      </c>
      <c r="E184" s="15" t="s">
        <v>792</v>
      </c>
      <c r="F184" s="15">
        <v>7</v>
      </c>
      <c r="G184" s="15" t="s">
        <v>651</v>
      </c>
      <c r="H184" s="21" t="s">
        <v>669</v>
      </c>
      <c r="I184" s="22">
        <f t="shared" si="8"/>
        <v>3211.7647058823527</v>
      </c>
      <c r="J184" s="19">
        <f t="shared" si="9"/>
        <v>3061.6822429906542</v>
      </c>
      <c r="K184" s="19">
        <f t="shared" si="10"/>
        <v>2707.4380165289258</v>
      </c>
      <c r="L184" s="19">
        <f t="shared" si="11"/>
        <v>1424.3478260869567</v>
      </c>
    </row>
    <row r="185" spans="1:12" ht="15" thickBot="1" x14ac:dyDescent="0.35">
      <c r="A185" s="6">
        <v>1487</v>
      </c>
      <c r="B185" s="9" t="s">
        <v>194</v>
      </c>
      <c r="C185" s="8">
        <v>208</v>
      </c>
      <c r="D185" s="8" t="s">
        <v>487</v>
      </c>
      <c r="E185" s="8" t="s">
        <v>797</v>
      </c>
      <c r="F185" s="8">
        <v>14</v>
      </c>
      <c r="G185" s="8" t="s">
        <v>636</v>
      </c>
      <c r="H185" s="20" t="s">
        <v>748</v>
      </c>
      <c r="I185" s="22">
        <f t="shared" si="8"/>
        <v>2286.7924528301887</v>
      </c>
      <c r="J185" s="19">
        <f t="shared" si="9"/>
        <v>2126.3157894736842</v>
      </c>
      <c r="K185" s="19">
        <f t="shared" si="10"/>
        <v>1377.2727272727273</v>
      </c>
      <c r="L185" s="19">
        <f t="shared" si="11"/>
        <v>871.94244604316543</v>
      </c>
    </row>
    <row r="186" spans="1:12" ht="15" thickBot="1" x14ac:dyDescent="0.35">
      <c r="A186" s="13">
        <v>1488</v>
      </c>
      <c r="B186" s="14" t="s">
        <v>195</v>
      </c>
      <c r="C186" s="15">
        <v>272</v>
      </c>
      <c r="D186" s="15" t="s">
        <v>488</v>
      </c>
      <c r="E186" s="15" t="s">
        <v>792</v>
      </c>
      <c r="F186" s="15">
        <v>6</v>
      </c>
      <c r="G186" s="15" t="s">
        <v>646</v>
      </c>
      <c r="H186" s="21" t="s">
        <v>739</v>
      </c>
      <c r="I186" s="22">
        <f t="shared" si="8"/>
        <v>3149.0196078431372</v>
      </c>
      <c r="J186" s="19">
        <f t="shared" si="9"/>
        <v>3030.1886792452829</v>
      </c>
      <c r="K186" s="19">
        <f t="shared" si="10"/>
        <v>2007.5</v>
      </c>
      <c r="L186" s="19">
        <f t="shared" si="11"/>
        <v>1207.5187969924812</v>
      </c>
    </row>
    <row r="187" spans="1:12" ht="15" thickBot="1" x14ac:dyDescent="0.35">
      <c r="A187" s="6">
        <v>1489</v>
      </c>
      <c r="B187" s="9" t="s">
        <v>196</v>
      </c>
      <c r="C187" s="8">
        <v>253</v>
      </c>
      <c r="D187" s="8" t="s">
        <v>489</v>
      </c>
      <c r="E187" s="8" t="s">
        <v>799</v>
      </c>
      <c r="F187" s="8">
        <v>18</v>
      </c>
      <c r="G187" s="8" t="s">
        <v>613</v>
      </c>
      <c r="H187" s="20" t="s">
        <v>748</v>
      </c>
      <c r="I187" s="22">
        <f t="shared" si="8"/>
        <v>4030</v>
      </c>
      <c r="J187" s="19">
        <f t="shared" si="9"/>
        <v>3415.2542372881358</v>
      </c>
      <c r="K187" s="19">
        <f t="shared" si="10"/>
        <v>2427.7108433734938</v>
      </c>
      <c r="L187" s="19">
        <f t="shared" si="11"/>
        <v>1449.640287769784</v>
      </c>
    </row>
    <row r="188" spans="1:12" ht="15" thickBot="1" x14ac:dyDescent="0.35">
      <c r="A188" s="13">
        <v>1490</v>
      </c>
      <c r="B188" s="14" t="s">
        <v>197</v>
      </c>
      <c r="C188" s="15">
        <v>446</v>
      </c>
      <c r="D188" s="15" t="s">
        <v>490</v>
      </c>
      <c r="E188" s="15" t="s">
        <v>792</v>
      </c>
      <c r="F188" s="15">
        <v>14</v>
      </c>
      <c r="G188" s="15" t="s">
        <v>624</v>
      </c>
      <c r="H188" s="21" t="s">
        <v>749</v>
      </c>
      <c r="I188" s="22">
        <f t="shared" si="8"/>
        <v>3218.627450980392</v>
      </c>
      <c r="J188" s="19">
        <f t="shared" si="9"/>
        <v>2879.8245614035086</v>
      </c>
      <c r="K188" s="19">
        <f t="shared" si="10"/>
        <v>1965.868263473054</v>
      </c>
      <c r="L188" s="19">
        <f t="shared" si="11"/>
        <v>1172.5</v>
      </c>
    </row>
    <row r="189" spans="1:12" ht="15" thickBot="1" x14ac:dyDescent="0.35">
      <c r="A189" s="6">
        <v>1491</v>
      </c>
      <c r="B189" s="9" t="s">
        <v>198</v>
      </c>
      <c r="C189" s="8">
        <v>189</v>
      </c>
      <c r="D189" s="8" t="s">
        <v>491</v>
      </c>
      <c r="E189" s="8" t="s">
        <v>810</v>
      </c>
      <c r="F189" s="8">
        <v>30</v>
      </c>
      <c r="G189" s="8" t="s">
        <v>782</v>
      </c>
      <c r="H189" s="20" t="s">
        <v>750</v>
      </c>
      <c r="I189" s="22">
        <f t="shared" si="8"/>
        <v>2100</v>
      </c>
      <c r="J189" s="19">
        <f t="shared" si="9"/>
        <v>1809.2307692307691</v>
      </c>
      <c r="K189" s="19">
        <f t="shared" si="10"/>
        <v>1141.7475728155339</v>
      </c>
      <c r="L189" s="19">
        <f t="shared" si="11"/>
        <v>706.30630630630628</v>
      </c>
    </row>
    <row r="190" spans="1:12" ht="15" thickBot="1" x14ac:dyDescent="0.35">
      <c r="A190" s="13">
        <v>1492</v>
      </c>
      <c r="B190" s="14" t="s">
        <v>199</v>
      </c>
      <c r="C190" s="15">
        <v>83</v>
      </c>
      <c r="D190" s="15" t="s">
        <v>492</v>
      </c>
      <c r="E190" s="15" t="s">
        <v>796</v>
      </c>
      <c r="F190" s="15">
        <v>25</v>
      </c>
      <c r="G190" s="15" t="s">
        <v>646</v>
      </c>
      <c r="H190" s="21" t="s">
        <v>693</v>
      </c>
      <c r="I190" s="22">
        <f t="shared" si="8"/>
        <v>1369.9029126213593</v>
      </c>
      <c r="J190" s="19">
        <f t="shared" si="9"/>
        <v>1128.8</v>
      </c>
      <c r="K190" s="19">
        <f t="shared" si="10"/>
        <v>881.875</v>
      </c>
      <c r="L190" s="19">
        <f t="shared" si="11"/>
        <v>635.5855855855857</v>
      </c>
    </row>
    <row r="191" spans="1:12" ht="15" thickBot="1" x14ac:dyDescent="0.35">
      <c r="A191" s="6">
        <v>1493</v>
      </c>
      <c r="B191" s="9" t="s">
        <v>200</v>
      </c>
      <c r="C191" s="8">
        <v>168</v>
      </c>
      <c r="D191" s="8" t="s">
        <v>493</v>
      </c>
      <c r="E191" s="8" t="s">
        <v>801</v>
      </c>
      <c r="F191" s="8">
        <v>37</v>
      </c>
      <c r="G191" s="8" t="s">
        <v>629</v>
      </c>
      <c r="H191" s="20" t="s">
        <v>679</v>
      </c>
      <c r="I191" s="22">
        <f t="shared" si="8"/>
        <v>2118.2608695652175</v>
      </c>
      <c r="J191" s="19">
        <f t="shared" si="9"/>
        <v>1778.1021897810217</v>
      </c>
      <c r="K191" s="19">
        <f t="shared" si="10"/>
        <v>1236.5482233502539</v>
      </c>
      <c r="L191" s="19">
        <f t="shared" si="11"/>
        <v>820.20202020202032</v>
      </c>
    </row>
    <row r="192" spans="1:12" ht="15" thickBot="1" x14ac:dyDescent="0.35">
      <c r="A192" s="13">
        <v>1494</v>
      </c>
      <c r="B192" s="14" t="s">
        <v>201</v>
      </c>
      <c r="C192" s="15">
        <v>197</v>
      </c>
      <c r="D192" s="15" t="s">
        <v>494</v>
      </c>
      <c r="E192" s="15">
        <v>-4</v>
      </c>
      <c r="F192" s="15">
        <v>12</v>
      </c>
      <c r="G192" s="15" t="s">
        <v>652</v>
      </c>
      <c r="H192" s="21" t="s">
        <v>662</v>
      </c>
      <c r="I192" s="22">
        <f t="shared" si="8"/>
        <v>2860.416666666667</v>
      </c>
      <c r="J192" s="19">
        <f t="shared" si="9"/>
        <v>2451.7857142857142</v>
      </c>
      <c r="K192" s="19">
        <f t="shared" si="10"/>
        <v>1794.7712418300653</v>
      </c>
      <c r="L192" s="19">
        <f t="shared" si="11"/>
        <v>1139.4190871369294</v>
      </c>
    </row>
    <row r="193" spans="1:12" ht="15" thickBot="1" x14ac:dyDescent="0.35">
      <c r="A193" s="6">
        <v>1495</v>
      </c>
      <c r="B193" s="9" t="s">
        <v>202</v>
      </c>
      <c r="C193" s="8">
        <v>83</v>
      </c>
      <c r="D193" s="8" t="s">
        <v>495</v>
      </c>
      <c r="E193" s="8" t="s">
        <v>794</v>
      </c>
      <c r="F193" s="8">
        <v>24</v>
      </c>
      <c r="G193" s="8" t="s">
        <v>637</v>
      </c>
      <c r="H193" s="20" t="s">
        <v>737</v>
      </c>
      <c r="I193" s="22">
        <f t="shared" si="8"/>
        <v>2199.0384615384614</v>
      </c>
      <c r="J193" s="19">
        <f t="shared" si="9"/>
        <v>1844.3548387096773</v>
      </c>
      <c r="K193" s="19">
        <f t="shared" si="10"/>
        <v>1306.8571428571429</v>
      </c>
      <c r="L193" s="19">
        <f t="shared" si="11"/>
        <v>825.63176895306856</v>
      </c>
    </row>
    <row r="194" spans="1:12" ht="15" thickBot="1" x14ac:dyDescent="0.35">
      <c r="A194" s="13">
        <v>1496</v>
      </c>
      <c r="B194" s="14" t="s">
        <v>203</v>
      </c>
      <c r="C194" s="15">
        <v>320</v>
      </c>
      <c r="D194" s="15" t="s">
        <v>496</v>
      </c>
      <c r="E194" s="15" t="s">
        <v>792</v>
      </c>
      <c r="F194" s="15">
        <v>22</v>
      </c>
      <c r="G194" s="15" t="s">
        <v>626</v>
      </c>
      <c r="H194" s="21" t="s">
        <v>707</v>
      </c>
      <c r="I194" s="22">
        <f t="shared" si="8"/>
        <v>3094.1176470588234</v>
      </c>
      <c r="J194" s="19">
        <f t="shared" si="9"/>
        <v>2586.8852459016393</v>
      </c>
      <c r="K194" s="19">
        <f t="shared" si="10"/>
        <v>1856.4705882352941</v>
      </c>
      <c r="L194" s="19">
        <f t="shared" si="11"/>
        <v>1011.5384615384615</v>
      </c>
    </row>
    <row r="195" spans="1:12" ht="15" thickBot="1" x14ac:dyDescent="0.35">
      <c r="A195" s="6">
        <v>1497</v>
      </c>
      <c r="B195" s="9" t="s">
        <v>204</v>
      </c>
      <c r="C195" s="8">
        <v>88</v>
      </c>
      <c r="D195" s="8" t="s">
        <v>497</v>
      </c>
      <c r="E195" s="8" t="s">
        <v>803</v>
      </c>
      <c r="F195" s="8">
        <v>45</v>
      </c>
      <c r="G195" s="8" t="s">
        <v>653</v>
      </c>
      <c r="H195" s="20" t="s">
        <v>751</v>
      </c>
      <c r="I195" s="22">
        <f t="shared" ref="I195:I258" si="12" xml:space="preserve"> D195 / (1 + E195/100)</f>
        <v>2256.7567567567567</v>
      </c>
      <c r="J195" s="19">
        <f t="shared" ref="J195:J258" si="13" xml:space="preserve"> D195 / (1 + F195/100)</f>
        <v>1727.5862068965519</v>
      </c>
      <c r="K195" s="19">
        <f t="shared" ref="K195:K258" si="14" xml:space="preserve"> D195 / (1 + G195/100)</f>
        <v>1304.6875</v>
      </c>
      <c r="L195" s="19">
        <f t="shared" ref="L195:L258" si="15" xml:space="preserve"> D195 / (1 + H195/100)</f>
        <v>730.32069970845475</v>
      </c>
    </row>
    <row r="196" spans="1:12" ht="15" thickBot="1" x14ac:dyDescent="0.35">
      <c r="A196" s="13">
        <v>1498</v>
      </c>
      <c r="B196" s="14" t="s">
        <v>205</v>
      </c>
      <c r="C196" s="15">
        <v>87</v>
      </c>
      <c r="D196" s="15" t="s">
        <v>498</v>
      </c>
      <c r="E196" s="15" t="s">
        <v>792</v>
      </c>
      <c r="F196" s="15">
        <v>17</v>
      </c>
      <c r="G196" s="15" t="s">
        <v>599</v>
      </c>
      <c r="H196" s="21" t="s">
        <v>752</v>
      </c>
      <c r="I196" s="22">
        <f t="shared" si="12"/>
        <v>1734.313725490196</v>
      </c>
      <c r="J196" s="19">
        <f t="shared" si="13"/>
        <v>1511.965811965812</v>
      </c>
      <c r="K196" s="19">
        <f t="shared" si="14"/>
        <v>988.26815642458098</v>
      </c>
      <c r="L196" s="19">
        <f t="shared" si="15"/>
        <v>523.37278106508882</v>
      </c>
    </row>
    <row r="197" spans="1:12" ht="15" thickBot="1" x14ac:dyDescent="0.35">
      <c r="A197" s="6">
        <v>1499</v>
      </c>
      <c r="B197" s="9" t="s">
        <v>206</v>
      </c>
      <c r="C197" s="8">
        <v>187</v>
      </c>
      <c r="D197" s="8" t="s">
        <v>354</v>
      </c>
      <c r="E197" s="8" t="s">
        <v>794</v>
      </c>
      <c r="F197" s="8">
        <v>23</v>
      </c>
      <c r="G197" s="8" t="s">
        <v>654</v>
      </c>
      <c r="H197" s="20" t="s">
        <v>680</v>
      </c>
      <c r="I197" s="22">
        <f t="shared" si="12"/>
        <v>1858.6538461538462</v>
      </c>
      <c r="J197" s="19">
        <f t="shared" si="13"/>
        <v>1571.5447154471544</v>
      </c>
      <c r="K197" s="19">
        <f t="shared" si="14"/>
        <v>1022.7513227513227</v>
      </c>
      <c r="L197" s="19">
        <f t="shared" si="15"/>
        <v>648.65771812080538</v>
      </c>
    </row>
    <row r="198" spans="1:12" ht="15" thickBot="1" x14ac:dyDescent="0.35">
      <c r="A198" s="13"/>
      <c r="B198" s="16" t="s">
        <v>207</v>
      </c>
      <c r="C198" s="15"/>
      <c r="D198" s="15" t="s">
        <v>324</v>
      </c>
      <c r="E198" s="15" t="s">
        <v>324</v>
      </c>
      <c r="F198" s="15"/>
      <c r="G198" s="15" t="s">
        <v>324</v>
      </c>
      <c r="H198" s="21" t="s">
        <v>324</v>
      </c>
      <c r="I198" s="22" t="e">
        <f t="shared" si="12"/>
        <v>#VALUE!</v>
      </c>
      <c r="J198" s="19" t="e">
        <f t="shared" si="13"/>
        <v>#VALUE!</v>
      </c>
      <c r="K198" s="19" t="e">
        <f t="shared" si="14"/>
        <v>#VALUE!</v>
      </c>
      <c r="L198" s="19" t="e">
        <f t="shared" si="15"/>
        <v>#VALUE!</v>
      </c>
    </row>
    <row r="199" spans="1:12" ht="15" thickBot="1" x14ac:dyDescent="0.35">
      <c r="A199" s="6">
        <v>1715</v>
      </c>
      <c r="B199" s="9" t="s">
        <v>208</v>
      </c>
      <c r="C199" s="8">
        <v>80</v>
      </c>
      <c r="D199" s="8" t="s">
        <v>499</v>
      </c>
      <c r="E199" s="8">
        <v>-8</v>
      </c>
      <c r="F199" s="8">
        <v>24</v>
      </c>
      <c r="G199" s="8" t="s">
        <v>616</v>
      </c>
      <c r="H199" s="20" t="s">
        <v>710</v>
      </c>
      <c r="I199" s="22">
        <f t="shared" si="12"/>
        <v>2455.4347826086955</v>
      </c>
      <c r="J199" s="19">
        <f t="shared" si="13"/>
        <v>1821.7741935483871</v>
      </c>
      <c r="K199" s="19">
        <f t="shared" si="14"/>
        <v>1385.8895705521472</v>
      </c>
      <c r="L199" s="19">
        <f t="shared" si="15"/>
        <v>778.9655172413793</v>
      </c>
    </row>
    <row r="200" spans="1:12" ht="15" thickBot="1" x14ac:dyDescent="0.35">
      <c r="A200" s="13">
        <v>1730</v>
      </c>
      <c r="B200" s="14" t="s">
        <v>209</v>
      </c>
      <c r="C200" s="15">
        <v>70</v>
      </c>
      <c r="D200" s="15" t="s">
        <v>500</v>
      </c>
      <c r="E200" s="15" t="s">
        <v>795</v>
      </c>
      <c r="F200" s="15">
        <v>15</v>
      </c>
      <c r="G200" s="15" t="s">
        <v>610</v>
      </c>
      <c r="H200" s="21" t="s">
        <v>753</v>
      </c>
      <c r="I200" s="22">
        <f t="shared" si="12"/>
        <v>1060.1851851851852</v>
      </c>
      <c r="J200" s="19">
        <f t="shared" si="13"/>
        <v>995.65217391304361</v>
      </c>
      <c r="K200" s="19">
        <f t="shared" si="14"/>
        <v>768.45637583892619</v>
      </c>
      <c r="L200" s="19">
        <f t="shared" si="15"/>
        <v>489.31623931623932</v>
      </c>
    </row>
    <row r="201" spans="1:12" ht="15" thickBot="1" x14ac:dyDescent="0.35">
      <c r="A201" s="6">
        <v>1737</v>
      </c>
      <c r="B201" s="9" t="s">
        <v>210</v>
      </c>
      <c r="C201" s="8">
        <v>62</v>
      </c>
      <c r="D201" s="8" t="s">
        <v>501</v>
      </c>
      <c r="E201" s="8" t="s">
        <v>810</v>
      </c>
      <c r="F201" s="8">
        <v>50</v>
      </c>
      <c r="G201" s="8" t="s">
        <v>638</v>
      </c>
      <c r="H201" s="20" t="s">
        <v>748</v>
      </c>
      <c r="I201" s="22">
        <f t="shared" si="12"/>
        <v>1170.5357142857142</v>
      </c>
      <c r="J201" s="19">
        <f t="shared" si="13"/>
        <v>874</v>
      </c>
      <c r="K201" s="19">
        <f t="shared" si="14"/>
        <v>712.5</v>
      </c>
      <c r="L201" s="19">
        <f t="shared" si="15"/>
        <v>471.58273381294958</v>
      </c>
    </row>
    <row r="202" spans="1:12" ht="15" thickBot="1" x14ac:dyDescent="0.35">
      <c r="A202" s="13">
        <v>1760</v>
      </c>
      <c r="B202" s="14" t="s">
        <v>211</v>
      </c>
      <c r="C202" s="15">
        <v>37</v>
      </c>
      <c r="D202" s="15" t="s">
        <v>502</v>
      </c>
      <c r="E202" s="15" t="s">
        <v>804</v>
      </c>
      <c r="F202" s="15">
        <v>43</v>
      </c>
      <c r="G202" s="15" t="s">
        <v>600</v>
      </c>
      <c r="H202" s="21" t="s">
        <v>733</v>
      </c>
      <c r="I202" s="22">
        <f t="shared" si="12"/>
        <v>855.04587155963293</v>
      </c>
      <c r="J202" s="19">
        <f t="shared" si="13"/>
        <v>651.74825174825173</v>
      </c>
      <c r="K202" s="19">
        <f t="shared" si="14"/>
        <v>514.91712707182319</v>
      </c>
      <c r="L202" s="19">
        <f t="shared" si="15"/>
        <v>408.77192982456137</v>
      </c>
    </row>
    <row r="203" spans="1:12" ht="15" thickBot="1" x14ac:dyDescent="0.35">
      <c r="A203" s="6">
        <v>1761</v>
      </c>
      <c r="B203" s="9" t="s">
        <v>212</v>
      </c>
      <c r="C203" s="8">
        <v>132</v>
      </c>
      <c r="D203" s="8" t="s">
        <v>503</v>
      </c>
      <c r="E203" s="8" t="s">
        <v>796</v>
      </c>
      <c r="F203" s="8">
        <v>26</v>
      </c>
      <c r="G203" s="8" t="s">
        <v>627</v>
      </c>
      <c r="H203" s="20" t="s">
        <v>754</v>
      </c>
      <c r="I203" s="22">
        <f t="shared" si="12"/>
        <v>4061.1650485436894</v>
      </c>
      <c r="J203" s="19">
        <f t="shared" si="13"/>
        <v>3319.8412698412699</v>
      </c>
      <c r="K203" s="19">
        <f t="shared" si="14"/>
        <v>2404.022988505747</v>
      </c>
      <c r="L203" s="19">
        <f t="shared" si="15"/>
        <v>1427.6450511945393</v>
      </c>
    </row>
    <row r="204" spans="1:12" ht="15" thickBot="1" x14ac:dyDescent="0.35">
      <c r="A204" s="13">
        <v>1762</v>
      </c>
      <c r="B204" s="14" t="s">
        <v>213</v>
      </c>
      <c r="C204" s="15">
        <v>38</v>
      </c>
      <c r="D204" s="15" t="s">
        <v>504</v>
      </c>
      <c r="E204" s="15">
        <v>-20</v>
      </c>
      <c r="F204" s="15">
        <v>21</v>
      </c>
      <c r="G204" s="15" t="s">
        <v>604</v>
      </c>
      <c r="H204" s="21" t="s">
        <v>669</v>
      </c>
      <c r="I204" s="22">
        <f t="shared" si="12"/>
        <v>825</v>
      </c>
      <c r="J204" s="19">
        <f t="shared" si="13"/>
        <v>545.4545454545455</v>
      </c>
      <c r="K204" s="19">
        <f t="shared" si="14"/>
        <v>392.85714285714283</v>
      </c>
      <c r="L204" s="19">
        <f t="shared" si="15"/>
        <v>286.95652173913044</v>
      </c>
    </row>
    <row r="205" spans="1:12" ht="15" thickBot="1" x14ac:dyDescent="0.35">
      <c r="A205" s="6">
        <v>1763</v>
      </c>
      <c r="B205" s="9" t="s">
        <v>214</v>
      </c>
      <c r="C205" s="8">
        <v>115</v>
      </c>
      <c r="D205" s="8" t="s">
        <v>505</v>
      </c>
      <c r="E205" s="8" t="s">
        <v>799</v>
      </c>
      <c r="F205" s="8">
        <v>27</v>
      </c>
      <c r="G205" s="8" t="s">
        <v>643</v>
      </c>
      <c r="H205" s="20" t="s">
        <v>755</v>
      </c>
      <c r="I205" s="22">
        <f t="shared" si="12"/>
        <v>1609</v>
      </c>
      <c r="J205" s="19">
        <f t="shared" si="13"/>
        <v>1266.9291338582677</v>
      </c>
      <c r="K205" s="19">
        <f t="shared" si="14"/>
        <v>884.06593406593413</v>
      </c>
      <c r="L205" s="19">
        <f t="shared" si="15"/>
        <v>562.58741258741247</v>
      </c>
    </row>
    <row r="206" spans="1:12" ht="15" thickBot="1" x14ac:dyDescent="0.35">
      <c r="A206" s="13">
        <v>1764</v>
      </c>
      <c r="B206" s="14" t="s">
        <v>215</v>
      </c>
      <c r="C206" s="15">
        <v>71</v>
      </c>
      <c r="D206" s="15" t="s">
        <v>506</v>
      </c>
      <c r="E206" s="15" t="s">
        <v>801</v>
      </c>
      <c r="F206" s="15">
        <v>37</v>
      </c>
      <c r="G206" s="15" t="s">
        <v>649</v>
      </c>
      <c r="H206" s="21" t="s">
        <v>748</v>
      </c>
      <c r="I206" s="22">
        <f t="shared" si="12"/>
        <v>1406.0869565217392</v>
      </c>
      <c r="J206" s="19">
        <f t="shared" si="13"/>
        <v>1180.2919708029196</v>
      </c>
      <c r="K206" s="19">
        <f t="shared" si="14"/>
        <v>864.7058823529411</v>
      </c>
      <c r="L206" s="19">
        <f t="shared" si="15"/>
        <v>581.65467625899271</v>
      </c>
    </row>
    <row r="207" spans="1:12" ht="15" thickBot="1" x14ac:dyDescent="0.35">
      <c r="A207" s="6">
        <v>1765</v>
      </c>
      <c r="B207" s="9" t="s">
        <v>216</v>
      </c>
      <c r="C207" s="8">
        <v>50</v>
      </c>
      <c r="D207" s="8" t="s">
        <v>507</v>
      </c>
      <c r="E207" s="8" t="s">
        <v>803</v>
      </c>
      <c r="F207" s="8">
        <v>25</v>
      </c>
      <c r="G207" s="8" t="s">
        <v>655</v>
      </c>
      <c r="H207" s="20" t="s">
        <v>670</v>
      </c>
      <c r="I207" s="22">
        <f t="shared" si="12"/>
        <v>1572.0720720720719</v>
      </c>
      <c r="J207" s="19">
        <f t="shared" si="13"/>
        <v>1396</v>
      </c>
      <c r="K207" s="19">
        <f t="shared" si="14"/>
        <v>1342.3076923076922</v>
      </c>
      <c r="L207" s="19">
        <f t="shared" si="15"/>
        <v>730.12552301255243</v>
      </c>
    </row>
    <row r="208" spans="1:12" ht="15" thickBot="1" x14ac:dyDescent="0.35">
      <c r="A208" s="13">
        <v>1766</v>
      </c>
      <c r="B208" s="14" t="s">
        <v>217</v>
      </c>
      <c r="C208" s="15">
        <v>91</v>
      </c>
      <c r="D208" s="15" t="s">
        <v>508</v>
      </c>
      <c r="E208" s="15" t="s">
        <v>793</v>
      </c>
      <c r="F208" s="15">
        <v>23</v>
      </c>
      <c r="G208" s="15" t="s">
        <v>646</v>
      </c>
      <c r="H208" s="21" t="s">
        <v>668</v>
      </c>
      <c r="I208" s="22">
        <f t="shared" si="12"/>
        <v>1656.4356435643565</v>
      </c>
      <c r="J208" s="19">
        <f t="shared" si="13"/>
        <v>1360.1626016260163</v>
      </c>
      <c r="K208" s="19">
        <f t="shared" si="14"/>
        <v>1045.625</v>
      </c>
      <c r="L208" s="19">
        <f t="shared" si="15"/>
        <v>619.62962962962956</v>
      </c>
    </row>
    <row r="209" spans="1:12" ht="15" thickBot="1" x14ac:dyDescent="0.35">
      <c r="A209" s="6">
        <v>1780</v>
      </c>
      <c r="B209" s="9" t="s">
        <v>218</v>
      </c>
      <c r="C209" s="8">
        <v>436</v>
      </c>
      <c r="D209" s="8" t="s">
        <v>509</v>
      </c>
      <c r="E209" s="8" t="s">
        <v>796</v>
      </c>
      <c r="F209" s="8">
        <v>27</v>
      </c>
      <c r="G209" s="8" t="s">
        <v>627</v>
      </c>
      <c r="H209" s="20" t="s">
        <v>674</v>
      </c>
      <c r="I209" s="22">
        <f t="shared" si="12"/>
        <v>3444.6601941747572</v>
      </c>
      <c r="J209" s="19">
        <f t="shared" si="13"/>
        <v>2793.7007874015749</v>
      </c>
      <c r="K209" s="19">
        <f t="shared" si="14"/>
        <v>2039.0804597701149</v>
      </c>
      <c r="L209" s="19">
        <f t="shared" si="15"/>
        <v>1236.2369337979094</v>
      </c>
    </row>
    <row r="210" spans="1:12" ht="15" thickBot="1" x14ac:dyDescent="0.35">
      <c r="A210" s="13">
        <v>1781</v>
      </c>
      <c r="B210" s="14" t="s">
        <v>219</v>
      </c>
      <c r="C210" s="15">
        <v>119</v>
      </c>
      <c r="D210" s="15" t="s">
        <v>510</v>
      </c>
      <c r="E210" s="15">
        <v>-3</v>
      </c>
      <c r="F210" s="15">
        <v>22</v>
      </c>
      <c r="G210" s="15" t="s">
        <v>638</v>
      </c>
      <c r="H210" s="21" t="s">
        <v>756</v>
      </c>
      <c r="I210" s="22">
        <f t="shared" si="12"/>
        <v>1963.9175257731958</v>
      </c>
      <c r="J210" s="19">
        <f t="shared" si="13"/>
        <v>1561.4754098360656</v>
      </c>
      <c r="K210" s="19">
        <f t="shared" si="14"/>
        <v>1035.3260869565217</v>
      </c>
      <c r="L210" s="19">
        <f t="shared" si="15"/>
        <v>677.93594306049818</v>
      </c>
    </row>
    <row r="211" spans="1:12" ht="15" thickBot="1" x14ac:dyDescent="0.35">
      <c r="A211" s="6">
        <v>1782</v>
      </c>
      <c r="B211" s="9" t="s">
        <v>220</v>
      </c>
      <c r="C211" s="8">
        <v>72</v>
      </c>
      <c r="D211" s="8" t="s">
        <v>511</v>
      </c>
      <c r="E211" s="8" t="s">
        <v>811</v>
      </c>
      <c r="F211" s="8">
        <v>46</v>
      </c>
      <c r="G211" s="8" t="s">
        <v>640</v>
      </c>
      <c r="H211" s="20" t="s">
        <v>691</v>
      </c>
      <c r="I211" s="22">
        <f t="shared" si="12"/>
        <v>734.16666666666674</v>
      </c>
      <c r="J211" s="19">
        <f t="shared" si="13"/>
        <v>603.42465753424653</v>
      </c>
      <c r="K211" s="19">
        <f t="shared" si="14"/>
        <v>494.9438202247191</v>
      </c>
      <c r="L211" s="19">
        <f t="shared" si="15"/>
        <v>346.85039370078738</v>
      </c>
    </row>
    <row r="212" spans="1:12" ht="15" thickBot="1" x14ac:dyDescent="0.35">
      <c r="A212" s="13">
        <v>1783</v>
      </c>
      <c r="B212" s="14" t="s">
        <v>221</v>
      </c>
      <c r="C212" s="15">
        <v>133</v>
      </c>
      <c r="D212" s="15" t="s">
        <v>512</v>
      </c>
      <c r="E212" s="15" t="s">
        <v>796</v>
      </c>
      <c r="F212" s="15">
        <v>39</v>
      </c>
      <c r="G212" s="15" t="s">
        <v>606</v>
      </c>
      <c r="H212" s="21" t="s">
        <v>673</v>
      </c>
      <c r="I212" s="22">
        <f t="shared" si="12"/>
        <v>886.40776699029129</v>
      </c>
      <c r="J212" s="19">
        <f t="shared" si="13"/>
        <v>656.8345323741006</v>
      </c>
      <c r="K212" s="19">
        <f t="shared" si="14"/>
        <v>600.65789473684208</v>
      </c>
      <c r="L212" s="19">
        <f t="shared" si="15"/>
        <v>398.68995633187774</v>
      </c>
    </row>
    <row r="213" spans="1:12" ht="15" thickBot="1" x14ac:dyDescent="0.35">
      <c r="A213" s="6">
        <v>1784</v>
      </c>
      <c r="B213" s="9" t="s">
        <v>222</v>
      </c>
      <c r="C213" s="8">
        <v>162</v>
      </c>
      <c r="D213" s="8" t="s">
        <v>513</v>
      </c>
      <c r="E213" s="8" t="s">
        <v>792</v>
      </c>
      <c r="F213" s="8">
        <v>18</v>
      </c>
      <c r="G213" s="8" t="s">
        <v>621</v>
      </c>
      <c r="H213" s="20" t="s">
        <v>735</v>
      </c>
      <c r="I213" s="22">
        <f t="shared" si="12"/>
        <v>1850.9803921568628</v>
      </c>
      <c r="J213" s="19">
        <f t="shared" si="13"/>
        <v>1600</v>
      </c>
      <c r="K213" s="19">
        <f t="shared" si="14"/>
        <v>1172.6708074534163</v>
      </c>
      <c r="L213" s="19">
        <f t="shared" si="15"/>
        <v>655.55555555555554</v>
      </c>
    </row>
    <row r="214" spans="1:12" ht="15" thickBot="1" x14ac:dyDescent="0.35">
      <c r="A214" s="13">
        <v>1785</v>
      </c>
      <c r="B214" s="14" t="s">
        <v>223</v>
      </c>
      <c r="C214" s="15">
        <v>107</v>
      </c>
      <c r="D214" s="15" t="s">
        <v>395</v>
      </c>
      <c r="E214" s="15" t="s">
        <v>799</v>
      </c>
      <c r="F214" s="15">
        <v>24</v>
      </c>
      <c r="G214" s="15" t="s">
        <v>632</v>
      </c>
      <c r="H214" s="21" t="s">
        <v>757</v>
      </c>
      <c r="I214" s="22">
        <f t="shared" si="12"/>
        <v>1481</v>
      </c>
      <c r="J214" s="19">
        <f t="shared" si="13"/>
        <v>1194.3548387096773</v>
      </c>
      <c r="K214" s="19">
        <f t="shared" si="14"/>
        <v>931.44654088050322</v>
      </c>
      <c r="L214" s="19">
        <f t="shared" si="15"/>
        <v>715.45893719806759</v>
      </c>
    </row>
    <row r="215" spans="1:12" ht="15" thickBot="1" x14ac:dyDescent="0.35">
      <c r="A215" s="6"/>
      <c r="B215" s="7" t="s">
        <v>224</v>
      </c>
      <c r="C215" s="8"/>
      <c r="D215" s="8" t="s">
        <v>324</v>
      </c>
      <c r="E215" s="8" t="s">
        <v>324</v>
      </c>
      <c r="F215" s="8"/>
      <c r="G215" s="8" t="s">
        <v>324</v>
      </c>
      <c r="H215" s="20" t="s">
        <v>324</v>
      </c>
      <c r="I215" s="22" t="e">
        <f t="shared" si="12"/>
        <v>#VALUE!</v>
      </c>
      <c r="J215" s="19" t="e">
        <f t="shared" si="13"/>
        <v>#VALUE!</v>
      </c>
      <c r="K215" s="19" t="e">
        <f t="shared" si="14"/>
        <v>#VALUE!</v>
      </c>
      <c r="L215" s="19" t="e">
        <f t="shared" si="15"/>
        <v>#VALUE!</v>
      </c>
    </row>
    <row r="216" spans="1:12" ht="15" thickBot="1" x14ac:dyDescent="0.35">
      <c r="A216" s="13">
        <v>1814</v>
      </c>
      <c r="B216" s="14" t="s">
        <v>225</v>
      </c>
      <c r="C216" s="15">
        <v>86</v>
      </c>
      <c r="D216" s="15" t="s">
        <v>514</v>
      </c>
      <c r="E216" s="15" t="s">
        <v>797</v>
      </c>
      <c r="F216" s="15">
        <v>30</v>
      </c>
      <c r="G216" s="15" t="s">
        <v>656</v>
      </c>
      <c r="H216" s="21" t="s">
        <v>744</v>
      </c>
      <c r="I216" s="22">
        <f t="shared" si="12"/>
        <v>2343.3962264150941</v>
      </c>
      <c r="J216" s="19">
        <f t="shared" si="13"/>
        <v>1910.7692307692307</v>
      </c>
      <c r="K216" s="19">
        <f t="shared" si="14"/>
        <v>1248.2412060301508</v>
      </c>
      <c r="L216" s="19">
        <f t="shared" si="15"/>
        <v>819.80198019801981</v>
      </c>
    </row>
    <row r="217" spans="1:12" ht="15" thickBot="1" x14ac:dyDescent="0.35">
      <c r="A217" s="6">
        <v>1860</v>
      </c>
      <c r="B217" s="9" t="s">
        <v>226</v>
      </c>
      <c r="C217" s="8">
        <v>44</v>
      </c>
      <c r="D217" s="8" t="s">
        <v>515</v>
      </c>
      <c r="E217" s="8" t="s">
        <v>805</v>
      </c>
      <c r="F217" s="8">
        <v>14</v>
      </c>
      <c r="G217" s="8" t="s">
        <v>653</v>
      </c>
      <c r="H217" s="20" t="s">
        <v>666</v>
      </c>
      <c r="I217" s="22">
        <f t="shared" si="12"/>
        <v>918.18181818181813</v>
      </c>
      <c r="J217" s="19">
        <f t="shared" si="13"/>
        <v>885.9649122807017</v>
      </c>
      <c r="K217" s="19">
        <f t="shared" si="14"/>
        <v>526.04166666666674</v>
      </c>
      <c r="L217" s="19">
        <f t="shared" si="15"/>
        <v>435.34482758620686</v>
      </c>
    </row>
    <row r="218" spans="1:12" ht="15" thickBot="1" x14ac:dyDescent="0.35">
      <c r="A218" s="13">
        <v>1861</v>
      </c>
      <c r="B218" s="14" t="s">
        <v>227</v>
      </c>
      <c r="C218" s="15">
        <v>113</v>
      </c>
      <c r="D218" s="15" t="s">
        <v>516</v>
      </c>
      <c r="E218" s="15" t="s">
        <v>793</v>
      </c>
      <c r="F218" s="15">
        <v>20</v>
      </c>
      <c r="G218" s="15" t="s">
        <v>654</v>
      </c>
      <c r="H218" s="21" t="s">
        <v>674</v>
      </c>
      <c r="I218" s="22">
        <f t="shared" si="12"/>
        <v>1771.2871287128712</v>
      </c>
      <c r="J218" s="19">
        <f t="shared" si="13"/>
        <v>1490.8333333333335</v>
      </c>
      <c r="K218" s="19">
        <f t="shared" si="14"/>
        <v>946.56084656084647</v>
      </c>
      <c r="L218" s="19">
        <f t="shared" si="15"/>
        <v>623.34494773519157</v>
      </c>
    </row>
    <row r="219" spans="1:12" ht="15" thickBot="1" x14ac:dyDescent="0.35">
      <c r="A219" s="6">
        <v>1862</v>
      </c>
      <c r="B219" s="9" t="s">
        <v>228</v>
      </c>
      <c r="C219" s="8">
        <v>100</v>
      </c>
      <c r="D219" s="8" t="s">
        <v>517</v>
      </c>
      <c r="E219" s="8" t="s">
        <v>794</v>
      </c>
      <c r="F219" s="8">
        <v>26</v>
      </c>
      <c r="G219" s="8" t="s">
        <v>783</v>
      </c>
      <c r="H219" s="20" t="s">
        <v>758</v>
      </c>
      <c r="I219" s="22">
        <f t="shared" si="12"/>
        <v>1090.3846153846152</v>
      </c>
      <c r="J219" s="19">
        <f t="shared" si="13"/>
        <v>900</v>
      </c>
      <c r="K219" s="19">
        <f t="shared" si="14"/>
        <v>537.44075829383883</v>
      </c>
      <c r="L219" s="19">
        <f t="shared" si="15"/>
        <v>476.47058823529414</v>
      </c>
    </row>
    <row r="220" spans="1:12" ht="15" thickBot="1" x14ac:dyDescent="0.35">
      <c r="A220" s="13">
        <v>1863</v>
      </c>
      <c r="B220" s="14" t="s">
        <v>229</v>
      </c>
      <c r="C220" s="15">
        <v>48</v>
      </c>
      <c r="D220" s="15" t="s">
        <v>518</v>
      </c>
      <c r="E220" s="15">
        <v>-12</v>
      </c>
      <c r="F220" s="15">
        <v>9</v>
      </c>
      <c r="G220" s="15" t="s">
        <v>631</v>
      </c>
      <c r="H220" s="21" t="s">
        <v>678</v>
      </c>
      <c r="I220" s="22">
        <f t="shared" si="12"/>
        <v>738.63636363636363</v>
      </c>
      <c r="J220" s="19">
        <f t="shared" si="13"/>
        <v>596.33027522935777</v>
      </c>
      <c r="K220" s="19">
        <f t="shared" si="14"/>
        <v>367.23163841807911</v>
      </c>
      <c r="L220" s="19">
        <f t="shared" si="15"/>
        <v>302.32558139534888</v>
      </c>
    </row>
    <row r="221" spans="1:12" ht="15" thickBot="1" x14ac:dyDescent="0.35">
      <c r="A221" s="6">
        <v>1864</v>
      </c>
      <c r="B221" s="9" t="s">
        <v>230</v>
      </c>
      <c r="C221" s="8">
        <v>48</v>
      </c>
      <c r="D221" s="8" t="s">
        <v>519</v>
      </c>
      <c r="E221" s="8" t="s">
        <v>812</v>
      </c>
      <c r="F221" s="8">
        <v>21</v>
      </c>
      <c r="G221" s="8" t="s">
        <v>631</v>
      </c>
      <c r="H221" s="20" t="s">
        <v>759</v>
      </c>
      <c r="I221" s="22">
        <f t="shared" si="12"/>
        <v>786.55462184873954</v>
      </c>
      <c r="J221" s="19">
        <f t="shared" si="13"/>
        <v>773.55371900826447</v>
      </c>
      <c r="K221" s="19">
        <f t="shared" si="14"/>
        <v>528.81355932203394</v>
      </c>
      <c r="L221" s="19">
        <f t="shared" si="15"/>
        <v>342.85714285714283</v>
      </c>
    </row>
    <row r="222" spans="1:12" ht="15" thickBot="1" x14ac:dyDescent="0.35">
      <c r="A222" s="13">
        <v>1880</v>
      </c>
      <c r="B222" s="14" t="s">
        <v>231</v>
      </c>
      <c r="C222" s="15">
        <v>565</v>
      </c>
      <c r="D222" s="15" t="s">
        <v>520</v>
      </c>
      <c r="E222" s="15">
        <v>-1</v>
      </c>
      <c r="F222" s="15">
        <v>18</v>
      </c>
      <c r="G222" s="15" t="s">
        <v>632</v>
      </c>
      <c r="H222" s="21" t="s">
        <v>748</v>
      </c>
      <c r="I222" s="22">
        <f t="shared" si="12"/>
        <v>3966.6666666666665</v>
      </c>
      <c r="J222" s="19">
        <f t="shared" si="13"/>
        <v>3327.9661016949153</v>
      </c>
      <c r="K222" s="19">
        <f t="shared" si="14"/>
        <v>2469.8113207547171</v>
      </c>
      <c r="L222" s="19">
        <f t="shared" si="15"/>
        <v>1412.5899280575538</v>
      </c>
    </row>
    <row r="223" spans="1:12" ht="15" thickBot="1" x14ac:dyDescent="0.35">
      <c r="A223" s="6">
        <v>1881</v>
      </c>
      <c r="B223" s="9" t="s">
        <v>232</v>
      </c>
      <c r="C223" s="8">
        <v>152</v>
      </c>
      <c r="D223" s="8" t="s">
        <v>521</v>
      </c>
      <c r="E223" s="8" t="s">
        <v>796</v>
      </c>
      <c r="F223" s="8">
        <v>24</v>
      </c>
      <c r="G223" s="8" t="s">
        <v>614</v>
      </c>
      <c r="H223" s="20" t="s">
        <v>756</v>
      </c>
      <c r="I223" s="22">
        <f t="shared" si="12"/>
        <v>2786.4077669902913</v>
      </c>
      <c r="J223" s="19">
        <f t="shared" si="13"/>
        <v>2314.516129032258</v>
      </c>
      <c r="K223" s="19">
        <f t="shared" si="14"/>
        <v>1739.3939393939395</v>
      </c>
      <c r="L223" s="19">
        <f t="shared" si="15"/>
        <v>1021.3523131672598</v>
      </c>
    </row>
    <row r="224" spans="1:12" ht="15" thickBot="1" x14ac:dyDescent="0.35">
      <c r="A224" s="13">
        <v>1882</v>
      </c>
      <c r="B224" s="14" t="s">
        <v>233</v>
      </c>
      <c r="C224" s="15">
        <v>86</v>
      </c>
      <c r="D224" s="15" t="s">
        <v>393</v>
      </c>
      <c r="E224" s="15" t="s">
        <v>798</v>
      </c>
      <c r="F224" s="15">
        <v>25</v>
      </c>
      <c r="G224" s="15" t="s">
        <v>656</v>
      </c>
      <c r="H224" s="21" t="s">
        <v>760</v>
      </c>
      <c r="I224" s="22">
        <f t="shared" si="12"/>
        <v>1654.2857142857142</v>
      </c>
      <c r="J224" s="19">
        <f t="shared" si="13"/>
        <v>1389.6</v>
      </c>
      <c r="K224" s="19">
        <f t="shared" si="14"/>
        <v>872.8643216080402</v>
      </c>
      <c r="L224" s="19">
        <f t="shared" si="15"/>
        <v>594.8630136986302</v>
      </c>
    </row>
    <row r="225" spans="1:12" ht="15" thickBot="1" x14ac:dyDescent="0.35">
      <c r="A225" s="6">
        <v>1883</v>
      </c>
      <c r="B225" s="9" t="s">
        <v>234</v>
      </c>
      <c r="C225" s="8">
        <v>221</v>
      </c>
      <c r="D225" s="8" t="s">
        <v>522</v>
      </c>
      <c r="E225" s="8" t="s">
        <v>796</v>
      </c>
      <c r="F225" s="8">
        <v>27</v>
      </c>
      <c r="G225" s="8" t="s">
        <v>633</v>
      </c>
      <c r="H225" s="20" t="s">
        <v>683</v>
      </c>
      <c r="I225" s="22">
        <f t="shared" si="12"/>
        <v>1828.1553398058252</v>
      </c>
      <c r="J225" s="19">
        <f t="shared" si="13"/>
        <v>1482.6771653543308</v>
      </c>
      <c r="K225" s="19">
        <f t="shared" si="14"/>
        <v>951.01010101010104</v>
      </c>
      <c r="L225" s="19">
        <f t="shared" si="15"/>
        <v>692.27941176470597</v>
      </c>
    </row>
    <row r="226" spans="1:12" ht="15" thickBot="1" x14ac:dyDescent="0.35">
      <c r="A226" s="13">
        <v>1884</v>
      </c>
      <c r="B226" s="14" t="s">
        <v>235</v>
      </c>
      <c r="C226" s="15">
        <v>73</v>
      </c>
      <c r="D226" s="15" t="s">
        <v>523</v>
      </c>
      <c r="E226" s="15" t="s">
        <v>792</v>
      </c>
      <c r="F226" s="15">
        <v>19</v>
      </c>
      <c r="G226" s="15" t="s">
        <v>640</v>
      </c>
      <c r="H226" s="21" t="s">
        <v>748</v>
      </c>
      <c r="I226" s="22">
        <f t="shared" si="12"/>
        <v>1825.4901960784314</v>
      </c>
      <c r="J226" s="19">
        <f t="shared" si="13"/>
        <v>1564.7058823529412</v>
      </c>
      <c r="K226" s="19">
        <f t="shared" si="14"/>
        <v>1046.067415730337</v>
      </c>
      <c r="L226" s="19">
        <f t="shared" si="15"/>
        <v>669.78417266187046</v>
      </c>
    </row>
    <row r="227" spans="1:12" ht="15" thickBot="1" x14ac:dyDescent="0.35">
      <c r="A227" s="6">
        <v>1885</v>
      </c>
      <c r="B227" s="9" t="s">
        <v>236</v>
      </c>
      <c r="C227" s="8">
        <v>162</v>
      </c>
      <c r="D227" s="8" t="s">
        <v>524</v>
      </c>
      <c r="E227" s="8">
        <v>-3</v>
      </c>
      <c r="F227" s="8">
        <v>18</v>
      </c>
      <c r="G227" s="8" t="s">
        <v>638</v>
      </c>
      <c r="H227" s="20" t="s">
        <v>699</v>
      </c>
      <c r="I227" s="22">
        <f t="shared" si="12"/>
        <v>1650.5154639175257</v>
      </c>
      <c r="J227" s="19">
        <f t="shared" si="13"/>
        <v>1356.7796610169491</v>
      </c>
      <c r="K227" s="19">
        <f t="shared" si="14"/>
        <v>870.10869565217399</v>
      </c>
      <c r="L227" s="19">
        <f t="shared" si="15"/>
        <v>553.97923875432537</v>
      </c>
    </row>
    <row r="228" spans="1:12" ht="28.2" thickBot="1" x14ac:dyDescent="0.35">
      <c r="A228" s="13"/>
      <c r="B228" s="16" t="s">
        <v>237</v>
      </c>
      <c r="C228" s="15"/>
      <c r="D228" s="15" t="s">
        <v>324</v>
      </c>
      <c r="E228" s="15" t="s">
        <v>324</v>
      </c>
      <c r="F228" s="15"/>
      <c r="G228" s="15" t="s">
        <v>324</v>
      </c>
      <c r="H228" s="21" t="s">
        <v>324</v>
      </c>
      <c r="I228" s="22" t="e">
        <f t="shared" si="12"/>
        <v>#VALUE!</v>
      </c>
      <c r="J228" s="19" t="e">
        <f t="shared" si="13"/>
        <v>#VALUE!</v>
      </c>
      <c r="K228" s="19" t="e">
        <f t="shared" si="14"/>
        <v>#VALUE!</v>
      </c>
      <c r="L228" s="19" t="e">
        <f t="shared" si="15"/>
        <v>#VALUE!</v>
      </c>
    </row>
    <row r="229" spans="1:12" ht="15" thickBot="1" x14ac:dyDescent="0.35">
      <c r="A229" s="6">
        <v>1904</v>
      </c>
      <c r="B229" s="9" t="s">
        <v>238</v>
      </c>
      <c r="C229" s="8">
        <v>48</v>
      </c>
      <c r="D229" s="8" t="s">
        <v>390</v>
      </c>
      <c r="E229" s="8" t="s">
        <v>813</v>
      </c>
      <c r="F229" s="8">
        <v>39</v>
      </c>
      <c r="G229" s="8" t="s">
        <v>693</v>
      </c>
      <c r="H229" s="20" t="s">
        <v>735</v>
      </c>
      <c r="I229" s="22">
        <f t="shared" si="12"/>
        <v>928.68852459016398</v>
      </c>
      <c r="J229" s="19">
        <f t="shared" si="13"/>
        <v>815.10791366906471</v>
      </c>
      <c r="K229" s="19">
        <f t="shared" si="14"/>
        <v>510.3603603603604</v>
      </c>
      <c r="L229" s="19">
        <f t="shared" si="15"/>
        <v>393.40277777777777</v>
      </c>
    </row>
    <row r="230" spans="1:12" ht="15" thickBot="1" x14ac:dyDescent="0.35">
      <c r="A230" s="13">
        <v>1907</v>
      </c>
      <c r="B230" s="14" t="s">
        <v>239</v>
      </c>
      <c r="C230" s="15">
        <v>104</v>
      </c>
      <c r="D230" s="15" t="s">
        <v>525</v>
      </c>
      <c r="E230" s="15" t="s">
        <v>794</v>
      </c>
      <c r="F230" s="15">
        <v>19</v>
      </c>
      <c r="G230" s="15" t="s">
        <v>649</v>
      </c>
      <c r="H230" s="21" t="s">
        <v>683</v>
      </c>
      <c r="I230" s="22">
        <f t="shared" si="12"/>
        <v>1820.1923076923076</v>
      </c>
      <c r="J230" s="19">
        <f t="shared" si="13"/>
        <v>1590.7563025210084</v>
      </c>
      <c r="K230" s="19">
        <f t="shared" si="14"/>
        <v>1012.2994652406417</v>
      </c>
      <c r="L230" s="19">
        <f t="shared" si="15"/>
        <v>695.95588235294122</v>
      </c>
    </row>
    <row r="231" spans="1:12" ht="15" thickBot="1" x14ac:dyDescent="0.35">
      <c r="A231" s="6">
        <v>1960</v>
      </c>
      <c r="B231" s="9" t="s">
        <v>240</v>
      </c>
      <c r="C231" s="8">
        <v>81</v>
      </c>
      <c r="D231" s="8" t="s">
        <v>526</v>
      </c>
      <c r="E231" s="8">
        <v>-6</v>
      </c>
      <c r="F231" s="8">
        <v>13</v>
      </c>
      <c r="G231" s="8" t="s">
        <v>653</v>
      </c>
      <c r="H231" s="20" t="s">
        <v>700</v>
      </c>
      <c r="I231" s="22">
        <f t="shared" si="12"/>
        <v>2307.4468085106382</v>
      </c>
      <c r="J231" s="19">
        <f t="shared" si="13"/>
        <v>1919.4690265486727</v>
      </c>
      <c r="K231" s="19">
        <f t="shared" si="14"/>
        <v>1129.6875</v>
      </c>
      <c r="L231" s="19">
        <f t="shared" si="15"/>
        <v>831.03448275862058</v>
      </c>
    </row>
    <row r="232" spans="1:12" ht="15" thickBot="1" x14ac:dyDescent="0.35">
      <c r="A232" s="13">
        <v>1961</v>
      </c>
      <c r="B232" s="14" t="s">
        <v>241</v>
      </c>
      <c r="C232" s="15">
        <v>92</v>
      </c>
      <c r="D232" s="15" t="s">
        <v>527</v>
      </c>
      <c r="E232" s="15" t="s">
        <v>792</v>
      </c>
      <c r="F232" s="15">
        <v>20</v>
      </c>
      <c r="G232" s="15" t="s">
        <v>636</v>
      </c>
      <c r="H232" s="21" t="s">
        <v>732</v>
      </c>
      <c r="I232" s="22">
        <f t="shared" si="12"/>
        <v>2488.2352941176468</v>
      </c>
      <c r="J232" s="19">
        <f t="shared" si="13"/>
        <v>2115</v>
      </c>
      <c r="K232" s="19">
        <f t="shared" si="14"/>
        <v>1442.0454545454545</v>
      </c>
      <c r="L232" s="19">
        <f t="shared" si="15"/>
        <v>1023.3870967741935</v>
      </c>
    </row>
    <row r="233" spans="1:12" ht="15" thickBot="1" x14ac:dyDescent="0.35">
      <c r="A233" s="6">
        <v>1962</v>
      </c>
      <c r="B233" s="9" t="s">
        <v>242</v>
      </c>
      <c r="C233" s="8">
        <v>27</v>
      </c>
      <c r="D233" s="8" t="s">
        <v>528</v>
      </c>
      <c r="E233" s="8" t="s">
        <v>804</v>
      </c>
      <c r="F233" s="8">
        <v>21</v>
      </c>
      <c r="G233" s="8" t="s">
        <v>757</v>
      </c>
      <c r="H233" s="20" t="s">
        <v>761</v>
      </c>
      <c r="I233" s="22">
        <f t="shared" si="12"/>
        <v>1137.6146788990825</v>
      </c>
      <c r="J233" s="19">
        <f t="shared" si="13"/>
        <v>1024.793388429752</v>
      </c>
      <c r="K233" s="19">
        <f t="shared" si="14"/>
        <v>599.03381642512068</v>
      </c>
      <c r="L233" s="19">
        <f t="shared" si="15"/>
        <v>473.28244274809157</v>
      </c>
    </row>
    <row r="234" spans="1:12" ht="15" thickBot="1" x14ac:dyDescent="0.35">
      <c r="A234" s="13">
        <v>1980</v>
      </c>
      <c r="B234" s="14" t="s">
        <v>243</v>
      </c>
      <c r="C234" s="15">
        <v>755</v>
      </c>
      <c r="D234" s="15" t="s">
        <v>529</v>
      </c>
      <c r="E234" s="15" t="s">
        <v>794</v>
      </c>
      <c r="F234" s="15">
        <v>16</v>
      </c>
      <c r="G234" s="15" t="s">
        <v>614</v>
      </c>
      <c r="H234" s="21" t="s">
        <v>711</v>
      </c>
      <c r="I234" s="22">
        <f t="shared" si="12"/>
        <v>4073.0769230769229</v>
      </c>
      <c r="J234" s="19">
        <f t="shared" si="13"/>
        <v>3651.7241379310349</v>
      </c>
      <c r="K234" s="19">
        <f t="shared" si="14"/>
        <v>2567.2727272727275</v>
      </c>
      <c r="L234" s="19">
        <f t="shared" si="15"/>
        <v>1661.1764705882354</v>
      </c>
    </row>
    <row r="235" spans="1:12" ht="15" thickBot="1" x14ac:dyDescent="0.35">
      <c r="A235" s="6">
        <v>1981</v>
      </c>
      <c r="B235" s="9" t="s">
        <v>244</v>
      </c>
      <c r="C235" s="8">
        <v>133</v>
      </c>
      <c r="D235" s="8" t="s">
        <v>530</v>
      </c>
      <c r="E235" s="8">
        <v>-5</v>
      </c>
      <c r="F235" s="8">
        <v>18</v>
      </c>
      <c r="G235" s="8" t="s">
        <v>646</v>
      </c>
      <c r="H235" s="20" t="s">
        <v>668</v>
      </c>
      <c r="I235" s="22">
        <f t="shared" si="12"/>
        <v>2341.0526315789475</v>
      </c>
      <c r="J235" s="19">
        <f t="shared" si="13"/>
        <v>1884.7457627118645</v>
      </c>
      <c r="K235" s="19">
        <f t="shared" si="14"/>
        <v>1390</v>
      </c>
      <c r="L235" s="19">
        <f t="shared" si="15"/>
        <v>823.7037037037037</v>
      </c>
    </row>
    <row r="236" spans="1:12" ht="15" thickBot="1" x14ac:dyDescent="0.35">
      <c r="A236" s="13">
        <v>1982</v>
      </c>
      <c r="B236" s="14" t="s">
        <v>245</v>
      </c>
      <c r="C236" s="15">
        <v>64</v>
      </c>
      <c r="D236" s="15" t="s">
        <v>531</v>
      </c>
      <c r="E236" s="15">
        <v>-4</v>
      </c>
      <c r="F236" s="15">
        <v>12</v>
      </c>
      <c r="G236" s="15" t="s">
        <v>634</v>
      </c>
      <c r="H236" s="21" t="s">
        <v>761</v>
      </c>
      <c r="I236" s="22">
        <f t="shared" si="12"/>
        <v>1421.875</v>
      </c>
      <c r="J236" s="19">
        <f t="shared" si="13"/>
        <v>1218.7499999999998</v>
      </c>
      <c r="K236" s="19">
        <f t="shared" si="14"/>
        <v>758.33333333333337</v>
      </c>
      <c r="L236" s="19">
        <f t="shared" si="15"/>
        <v>520.99236641221376</v>
      </c>
    </row>
    <row r="237" spans="1:12" ht="15" thickBot="1" x14ac:dyDescent="0.35">
      <c r="A237" s="6">
        <v>1983</v>
      </c>
      <c r="B237" s="9" t="s">
        <v>246</v>
      </c>
      <c r="C237" s="8">
        <v>109</v>
      </c>
      <c r="D237" s="8" t="s">
        <v>532</v>
      </c>
      <c r="E237" s="8" t="s">
        <v>796</v>
      </c>
      <c r="F237" s="8">
        <v>18</v>
      </c>
      <c r="G237" s="8" t="s">
        <v>635</v>
      </c>
      <c r="H237" s="20" t="s">
        <v>710</v>
      </c>
      <c r="I237" s="22">
        <f t="shared" si="12"/>
        <v>2270.8737864077671</v>
      </c>
      <c r="J237" s="19">
        <f t="shared" si="13"/>
        <v>1982.2033898305085</v>
      </c>
      <c r="K237" s="19">
        <f t="shared" si="14"/>
        <v>1278.1420765027322</v>
      </c>
      <c r="L237" s="19">
        <f t="shared" si="15"/>
        <v>806.55172413793105</v>
      </c>
    </row>
    <row r="238" spans="1:12" ht="15" thickBot="1" x14ac:dyDescent="0.35">
      <c r="A238" s="13">
        <v>1984</v>
      </c>
      <c r="B238" s="14" t="s">
        <v>247</v>
      </c>
      <c r="C238" s="15">
        <v>92</v>
      </c>
      <c r="D238" s="15" t="s">
        <v>533</v>
      </c>
      <c r="E238" s="15">
        <v>-2</v>
      </c>
      <c r="F238" s="15">
        <v>13</v>
      </c>
      <c r="G238" s="15" t="s">
        <v>642</v>
      </c>
      <c r="H238" s="21" t="s">
        <v>700</v>
      </c>
      <c r="I238" s="22">
        <f t="shared" si="12"/>
        <v>2183.6734693877552</v>
      </c>
      <c r="J238" s="19">
        <f t="shared" si="13"/>
        <v>1893.8053097345135</v>
      </c>
      <c r="K238" s="19">
        <f t="shared" si="14"/>
        <v>1120.4188481675392</v>
      </c>
      <c r="L238" s="19">
        <f t="shared" si="15"/>
        <v>819.9233716475095</v>
      </c>
    </row>
    <row r="239" spans="1:12" ht="15" thickBot="1" x14ac:dyDescent="0.35">
      <c r="A239" s="6"/>
      <c r="B239" s="7" t="s">
        <v>248</v>
      </c>
      <c r="C239" s="8"/>
      <c r="D239" s="8" t="s">
        <v>324</v>
      </c>
      <c r="E239" s="8" t="s">
        <v>324</v>
      </c>
      <c r="F239" s="8"/>
      <c r="G239" s="8" t="s">
        <v>324</v>
      </c>
      <c r="H239" s="20" t="s">
        <v>324</v>
      </c>
      <c r="I239" s="22" t="e">
        <f t="shared" si="12"/>
        <v>#VALUE!</v>
      </c>
      <c r="J239" s="19" t="e">
        <f t="shared" si="13"/>
        <v>#VALUE!</v>
      </c>
      <c r="K239" s="19" t="e">
        <f t="shared" si="14"/>
        <v>#VALUE!</v>
      </c>
      <c r="L239" s="19" t="e">
        <f t="shared" si="15"/>
        <v>#VALUE!</v>
      </c>
    </row>
    <row r="240" spans="1:12" ht="15" thickBot="1" x14ac:dyDescent="0.35">
      <c r="A240" s="13">
        <v>2021</v>
      </c>
      <c r="B240" s="14" t="s">
        <v>249</v>
      </c>
      <c r="C240" s="15">
        <v>41</v>
      </c>
      <c r="D240" s="15" t="s">
        <v>534</v>
      </c>
      <c r="E240" s="15" t="s">
        <v>798</v>
      </c>
      <c r="F240" s="15">
        <v>43</v>
      </c>
      <c r="G240" s="15" t="s">
        <v>629</v>
      </c>
      <c r="H240" s="21" t="s">
        <v>762</v>
      </c>
      <c r="I240" s="22">
        <f t="shared" si="12"/>
        <v>954.28571428571422</v>
      </c>
      <c r="J240" s="19">
        <f t="shared" si="13"/>
        <v>700.69930069930069</v>
      </c>
      <c r="K240" s="19">
        <f t="shared" si="14"/>
        <v>508.62944162436548</v>
      </c>
      <c r="L240" s="19">
        <f t="shared" si="15"/>
        <v>317.08860759493672</v>
      </c>
    </row>
    <row r="241" spans="1:12" ht="15" thickBot="1" x14ac:dyDescent="0.35">
      <c r="A241" s="6">
        <v>2023</v>
      </c>
      <c r="B241" s="9" t="s">
        <v>250</v>
      </c>
      <c r="C241" s="8">
        <v>75</v>
      </c>
      <c r="D241" s="8" t="s">
        <v>535</v>
      </c>
      <c r="E241" s="8" t="s">
        <v>810</v>
      </c>
      <c r="F241" s="8">
        <v>53</v>
      </c>
      <c r="G241" s="8" t="s">
        <v>666</v>
      </c>
      <c r="H241" s="20" t="s">
        <v>704</v>
      </c>
      <c r="I241" s="22">
        <f t="shared" si="12"/>
        <v>2050.8928571428569</v>
      </c>
      <c r="J241" s="19">
        <f t="shared" si="13"/>
        <v>1501.3071895424837</v>
      </c>
      <c r="K241" s="19">
        <f t="shared" si="14"/>
        <v>990.08620689655163</v>
      </c>
      <c r="L241" s="19">
        <f t="shared" si="15"/>
        <v>713.35403726708068</v>
      </c>
    </row>
    <row r="242" spans="1:12" ht="15" thickBot="1" x14ac:dyDescent="0.35">
      <c r="A242" s="13">
        <v>2026</v>
      </c>
      <c r="B242" s="14" t="s">
        <v>251</v>
      </c>
      <c r="C242" s="15">
        <v>95</v>
      </c>
      <c r="D242" s="15" t="s">
        <v>536</v>
      </c>
      <c r="E242" s="15" t="s">
        <v>802</v>
      </c>
      <c r="F242" s="15">
        <v>32</v>
      </c>
      <c r="G242" s="15" t="s">
        <v>715</v>
      </c>
      <c r="H242" s="21" t="s">
        <v>763</v>
      </c>
      <c r="I242" s="22">
        <f t="shared" si="12"/>
        <v>1601.8691588785045</v>
      </c>
      <c r="J242" s="19">
        <f t="shared" si="13"/>
        <v>1298.4848484848485</v>
      </c>
      <c r="K242" s="19">
        <f t="shared" si="14"/>
        <v>800.9345794392525</v>
      </c>
      <c r="L242" s="19">
        <f t="shared" si="15"/>
        <v>480.1120448179272</v>
      </c>
    </row>
    <row r="243" spans="1:12" ht="15" thickBot="1" x14ac:dyDescent="0.35">
      <c r="A243" s="6">
        <v>2029</v>
      </c>
      <c r="B243" s="9" t="s">
        <v>252</v>
      </c>
      <c r="C243" s="8">
        <v>94</v>
      </c>
      <c r="D243" s="8" t="s">
        <v>537</v>
      </c>
      <c r="E243" s="8" t="s">
        <v>794</v>
      </c>
      <c r="F243" s="8">
        <v>27</v>
      </c>
      <c r="G243" s="8" t="s">
        <v>639</v>
      </c>
      <c r="H243" s="20" t="s">
        <v>677</v>
      </c>
      <c r="I243" s="22">
        <f t="shared" si="12"/>
        <v>2734.6153846153843</v>
      </c>
      <c r="J243" s="19">
        <f t="shared" si="13"/>
        <v>2239.3700787401576</v>
      </c>
      <c r="K243" s="19">
        <f t="shared" si="14"/>
        <v>1451.0204081632653</v>
      </c>
      <c r="L243" s="19">
        <f t="shared" si="15"/>
        <v>960.81081081081084</v>
      </c>
    </row>
    <row r="244" spans="1:12" ht="15" thickBot="1" x14ac:dyDescent="0.35">
      <c r="A244" s="13">
        <v>2031</v>
      </c>
      <c r="B244" s="14" t="s">
        <v>253</v>
      </c>
      <c r="C244" s="15">
        <v>84</v>
      </c>
      <c r="D244" s="15" t="s">
        <v>538</v>
      </c>
      <c r="E244" s="15" t="s">
        <v>797</v>
      </c>
      <c r="F244" s="15">
        <v>35</v>
      </c>
      <c r="G244" s="15" t="s">
        <v>784</v>
      </c>
      <c r="H244" s="21" t="s">
        <v>738</v>
      </c>
      <c r="I244" s="22">
        <f t="shared" si="12"/>
        <v>2190.566037735849</v>
      </c>
      <c r="J244" s="19">
        <f t="shared" si="13"/>
        <v>1720</v>
      </c>
      <c r="K244" s="19">
        <f t="shared" si="14"/>
        <v>1095.2830188679245</v>
      </c>
      <c r="L244" s="19">
        <f t="shared" si="15"/>
        <v>716.66666666666663</v>
      </c>
    </row>
    <row r="245" spans="1:12" ht="15" thickBot="1" x14ac:dyDescent="0.35">
      <c r="A245" s="6">
        <v>2034</v>
      </c>
      <c r="B245" s="9" t="s">
        <v>254</v>
      </c>
      <c r="C245" s="8">
        <v>56</v>
      </c>
      <c r="D245" s="8" t="s">
        <v>539</v>
      </c>
      <c r="E245" s="8" t="s">
        <v>813</v>
      </c>
      <c r="F245" s="8">
        <v>27</v>
      </c>
      <c r="G245" s="8" t="s">
        <v>650</v>
      </c>
      <c r="H245" s="20" t="s">
        <v>738</v>
      </c>
      <c r="I245" s="22">
        <f t="shared" si="12"/>
        <v>1527.8688524590164</v>
      </c>
      <c r="J245" s="19">
        <f t="shared" si="13"/>
        <v>1467.7165354330709</v>
      </c>
      <c r="K245" s="19">
        <f t="shared" si="14"/>
        <v>960.82474226804129</v>
      </c>
      <c r="L245" s="19">
        <f t="shared" si="15"/>
        <v>575.30864197530866</v>
      </c>
    </row>
    <row r="246" spans="1:12" ht="15" thickBot="1" x14ac:dyDescent="0.35">
      <c r="A246" s="13">
        <v>2039</v>
      </c>
      <c r="B246" s="14" t="s">
        <v>255</v>
      </c>
      <c r="C246" s="15">
        <v>39</v>
      </c>
      <c r="D246" s="15" t="s">
        <v>540</v>
      </c>
      <c r="E246" s="15" t="s">
        <v>804</v>
      </c>
      <c r="F246" s="15">
        <v>49</v>
      </c>
      <c r="G246" s="15" t="s">
        <v>785</v>
      </c>
      <c r="H246" s="21" t="s">
        <v>696</v>
      </c>
      <c r="I246" s="22">
        <f t="shared" si="12"/>
        <v>1652.2935779816512</v>
      </c>
      <c r="J246" s="19">
        <f t="shared" si="13"/>
        <v>1208.724832214765</v>
      </c>
      <c r="K246" s="19">
        <f t="shared" si="14"/>
        <v>796.90265486725673</v>
      </c>
      <c r="L246" s="19">
        <f t="shared" si="15"/>
        <v>539.22155688622752</v>
      </c>
    </row>
    <row r="247" spans="1:12" ht="15" thickBot="1" x14ac:dyDescent="0.35">
      <c r="A247" s="6">
        <v>2061</v>
      </c>
      <c r="B247" s="9" t="s">
        <v>256</v>
      </c>
      <c r="C247" s="8">
        <v>91</v>
      </c>
      <c r="D247" s="8" t="s">
        <v>381</v>
      </c>
      <c r="E247" s="8">
        <v>-1</v>
      </c>
      <c r="F247" s="8">
        <v>15</v>
      </c>
      <c r="G247" s="8" t="s">
        <v>602</v>
      </c>
      <c r="H247" s="20" t="s">
        <v>691</v>
      </c>
      <c r="I247" s="22">
        <f t="shared" si="12"/>
        <v>1440.4040404040404</v>
      </c>
      <c r="J247" s="19">
        <f t="shared" si="13"/>
        <v>1240</v>
      </c>
      <c r="K247" s="19">
        <f t="shared" si="14"/>
        <v>824.27745664739882</v>
      </c>
      <c r="L247" s="19">
        <f t="shared" si="15"/>
        <v>561.41732283464569</v>
      </c>
    </row>
    <row r="248" spans="1:12" ht="15" thickBot="1" x14ac:dyDescent="0.35">
      <c r="A248" s="13">
        <v>2062</v>
      </c>
      <c r="B248" s="14" t="s">
        <v>257</v>
      </c>
      <c r="C248" s="15">
        <v>109</v>
      </c>
      <c r="D248" s="15" t="s">
        <v>541</v>
      </c>
      <c r="E248" s="15" t="s">
        <v>796</v>
      </c>
      <c r="F248" s="15">
        <v>28</v>
      </c>
      <c r="G248" s="15" t="s">
        <v>719</v>
      </c>
      <c r="H248" s="21" t="s">
        <v>764</v>
      </c>
      <c r="I248" s="22">
        <f t="shared" si="12"/>
        <v>2305.8252427184466</v>
      </c>
      <c r="J248" s="19">
        <f t="shared" si="13"/>
        <v>1855.46875</v>
      </c>
      <c r="K248" s="19">
        <f t="shared" si="14"/>
        <v>1181.5920398009951</v>
      </c>
      <c r="L248" s="19">
        <f t="shared" si="15"/>
        <v>719.69696969696975</v>
      </c>
    </row>
    <row r="249" spans="1:12" ht="15" thickBot="1" x14ac:dyDescent="0.35">
      <c r="A249" s="6">
        <v>2080</v>
      </c>
      <c r="B249" s="9" t="s">
        <v>258</v>
      </c>
      <c r="C249" s="8">
        <v>341</v>
      </c>
      <c r="D249" s="8" t="s">
        <v>542</v>
      </c>
      <c r="E249" s="8" t="s">
        <v>798</v>
      </c>
      <c r="F249" s="8">
        <v>27</v>
      </c>
      <c r="G249" s="8" t="s">
        <v>631</v>
      </c>
      <c r="H249" s="20" t="s">
        <v>765</v>
      </c>
      <c r="I249" s="22">
        <f t="shared" si="12"/>
        <v>3365.7142857142858</v>
      </c>
      <c r="J249" s="19">
        <f t="shared" si="13"/>
        <v>2782.6771653543306</v>
      </c>
      <c r="K249" s="19">
        <f t="shared" si="14"/>
        <v>1996.6101694915253</v>
      </c>
      <c r="L249" s="19">
        <f t="shared" si="15"/>
        <v>1015.5172413793103</v>
      </c>
    </row>
    <row r="250" spans="1:12" ht="15" thickBot="1" x14ac:dyDescent="0.35">
      <c r="A250" s="13">
        <v>2081</v>
      </c>
      <c r="B250" s="14" t="s">
        <v>259</v>
      </c>
      <c r="C250" s="15">
        <v>307</v>
      </c>
      <c r="D250" s="15" t="s">
        <v>543</v>
      </c>
      <c r="E250" s="15">
        <v>-4</v>
      </c>
      <c r="F250" s="15">
        <v>14</v>
      </c>
      <c r="G250" s="15" t="s">
        <v>610</v>
      </c>
      <c r="H250" s="21" t="s">
        <v>766</v>
      </c>
      <c r="I250" s="22">
        <f t="shared" si="12"/>
        <v>2739.5833333333335</v>
      </c>
      <c r="J250" s="19">
        <f t="shared" si="13"/>
        <v>2307.0175438596489</v>
      </c>
      <c r="K250" s="19">
        <f t="shared" si="14"/>
        <v>1765.1006711409395</v>
      </c>
      <c r="L250" s="19">
        <f t="shared" si="15"/>
        <v>876.66666666666663</v>
      </c>
    </row>
    <row r="251" spans="1:12" ht="15" thickBot="1" x14ac:dyDescent="0.35">
      <c r="A251" s="6">
        <v>2082</v>
      </c>
      <c r="B251" s="9" t="s">
        <v>260</v>
      </c>
      <c r="C251" s="8">
        <v>89</v>
      </c>
      <c r="D251" s="8" t="s">
        <v>544</v>
      </c>
      <c r="E251" s="8" t="s">
        <v>798</v>
      </c>
      <c r="F251" s="8">
        <v>20</v>
      </c>
      <c r="G251" s="8" t="s">
        <v>645</v>
      </c>
      <c r="H251" s="20" t="s">
        <v>767</v>
      </c>
      <c r="I251" s="22">
        <f t="shared" si="12"/>
        <v>2044.7619047619046</v>
      </c>
      <c r="J251" s="19">
        <f t="shared" si="13"/>
        <v>1789.1666666666667</v>
      </c>
      <c r="K251" s="19">
        <f t="shared" si="14"/>
        <v>1142.0212765957447</v>
      </c>
      <c r="L251" s="19">
        <f t="shared" si="15"/>
        <v>604.78873239436621</v>
      </c>
    </row>
    <row r="252" spans="1:12" ht="15" thickBot="1" x14ac:dyDescent="0.35">
      <c r="A252" s="13">
        <v>2083</v>
      </c>
      <c r="B252" s="14" t="s">
        <v>261</v>
      </c>
      <c r="C252" s="15">
        <v>119</v>
      </c>
      <c r="D252" s="15" t="s">
        <v>545</v>
      </c>
      <c r="E252" s="15" t="s">
        <v>799</v>
      </c>
      <c r="F252" s="15">
        <v>22</v>
      </c>
      <c r="G252" s="15" t="s">
        <v>719</v>
      </c>
      <c r="H252" s="21" t="s">
        <v>768</v>
      </c>
      <c r="I252" s="22">
        <f t="shared" si="12"/>
        <v>1614</v>
      </c>
      <c r="J252" s="19">
        <f t="shared" si="13"/>
        <v>1322.9508196721313</v>
      </c>
      <c r="K252" s="19">
        <f t="shared" si="14"/>
        <v>802.98507462686575</v>
      </c>
      <c r="L252" s="19">
        <f t="shared" si="15"/>
        <v>507.54716981132071</v>
      </c>
    </row>
    <row r="253" spans="1:12" ht="15" thickBot="1" x14ac:dyDescent="0.35">
      <c r="A253" s="6">
        <v>2084</v>
      </c>
      <c r="B253" s="9" t="s">
        <v>262</v>
      </c>
      <c r="C253" s="8">
        <v>129</v>
      </c>
      <c r="D253" s="8" t="s">
        <v>546</v>
      </c>
      <c r="E253" s="8" t="s">
        <v>804</v>
      </c>
      <c r="F253" s="8">
        <v>22</v>
      </c>
      <c r="G253" s="8" t="s">
        <v>786</v>
      </c>
      <c r="H253" s="20" t="s">
        <v>769</v>
      </c>
      <c r="I253" s="22">
        <f t="shared" si="12"/>
        <v>1724.7706422018348</v>
      </c>
      <c r="J253" s="19">
        <f t="shared" si="13"/>
        <v>1540.983606557377</v>
      </c>
      <c r="K253" s="19">
        <f t="shared" si="14"/>
        <v>917.07317073170736</v>
      </c>
      <c r="L253" s="19">
        <f t="shared" si="15"/>
        <v>622.51655629139077</v>
      </c>
    </row>
    <row r="254" spans="1:12" ht="15" thickBot="1" x14ac:dyDescent="0.35">
      <c r="A254" s="13">
        <v>2085</v>
      </c>
      <c r="B254" s="14" t="s">
        <v>263</v>
      </c>
      <c r="C254" s="15">
        <v>204</v>
      </c>
      <c r="D254" s="15" t="s">
        <v>547</v>
      </c>
      <c r="E254" s="15" t="s">
        <v>802</v>
      </c>
      <c r="F254" s="15">
        <v>20</v>
      </c>
      <c r="G254" s="15" t="s">
        <v>625</v>
      </c>
      <c r="H254" s="21" t="s">
        <v>740</v>
      </c>
      <c r="I254" s="22">
        <f t="shared" si="12"/>
        <v>1492.5233644859811</v>
      </c>
      <c r="J254" s="19">
        <f t="shared" si="13"/>
        <v>1330.8333333333335</v>
      </c>
      <c r="K254" s="19">
        <f t="shared" si="14"/>
        <v>985.80246913580243</v>
      </c>
      <c r="L254" s="19">
        <f t="shared" si="15"/>
        <v>593.68029739776955</v>
      </c>
    </row>
    <row r="255" spans="1:12" ht="15" thickBot="1" x14ac:dyDescent="0.35">
      <c r="A255" s="6"/>
      <c r="B255" s="7" t="s">
        <v>264</v>
      </c>
      <c r="C255" s="8"/>
      <c r="D255" s="8" t="s">
        <v>324</v>
      </c>
      <c r="E255" s="8" t="s">
        <v>324</v>
      </c>
      <c r="F255" s="8"/>
      <c r="G255" s="8" t="s">
        <v>324</v>
      </c>
      <c r="H255" s="20" t="s">
        <v>324</v>
      </c>
      <c r="I255" s="22" t="e">
        <f t="shared" si="12"/>
        <v>#VALUE!</v>
      </c>
      <c r="J255" s="19" t="e">
        <f t="shared" si="13"/>
        <v>#VALUE!</v>
      </c>
      <c r="K255" s="19" t="e">
        <f t="shared" si="14"/>
        <v>#VALUE!</v>
      </c>
      <c r="L255" s="19" t="e">
        <f t="shared" si="15"/>
        <v>#VALUE!</v>
      </c>
    </row>
    <row r="256" spans="1:12" ht="15" thickBot="1" x14ac:dyDescent="0.35">
      <c r="A256" s="13">
        <v>2101</v>
      </c>
      <c r="B256" s="14" t="s">
        <v>265</v>
      </c>
      <c r="C256" s="15">
        <v>44</v>
      </c>
      <c r="D256" s="15" t="s">
        <v>548</v>
      </c>
      <c r="E256" s="15" t="s">
        <v>810</v>
      </c>
      <c r="F256" s="15">
        <v>22</v>
      </c>
      <c r="G256" s="15" t="s">
        <v>643</v>
      </c>
      <c r="H256" s="21" t="s">
        <v>707</v>
      </c>
      <c r="I256" s="22">
        <f t="shared" si="12"/>
        <v>1100</v>
      </c>
      <c r="J256" s="19">
        <f t="shared" si="13"/>
        <v>1009.8360655737705</v>
      </c>
      <c r="K256" s="19">
        <f t="shared" si="14"/>
        <v>676.92307692307702</v>
      </c>
      <c r="L256" s="19">
        <f t="shared" si="15"/>
        <v>394.87179487179486</v>
      </c>
    </row>
    <row r="257" spans="1:12" ht="15" thickBot="1" x14ac:dyDescent="0.35">
      <c r="A257" s="6">
        <v>2104</v>
      </c>
      <c r="B257" s="9" t="s">
        <v>266</v>
      </c>
      <c r="C257" s="8">
        <v>84</v>
      </c>
      <c r="D257" s="8" t="s">
        <v>549</v>
      </c>
      <c r="E257" s="8" t="s">
        <v>797</v>
      </c>
      <c r="F257" s="8">
        <v>34</v>
      </c>
      <c r="G257" s="8" t="s">
        <v>622</v>
      </c>
      <c r="H257" s="20" t="s">
        <v>676</v>
      </c>
      <c r="I257" s="22">
        <f t="shared" si="12"/>
        <v>1130.1886792452829</v>
      </c>
      <c r="J257" s="19">
        <f t="shared" si="13"/>
        <v>894.02985074626861</v>
      </c>
      <c r="K257" s="19">
        <f t="shared" si="14"/>
        <v>630.52631578947376</v>
      </c>
      <c r="L257" s="19">
        <f t="shared" si="15"/>
        <v>448.68913857677904</v>
      </c>
    </row>
    <row r="258" spans="1:12" ht="15" thickBot="1" x14ac:dyDescent="0.35">
      <c r="A258" s="13">
        <v>2121</v>
      </c>
      <c r="B258" s="14" t="s">
        <v>267</v>
      </c>
      <c r="C258" s="15">
        <v>48</v>
      </c>
      <c r="D258" s="15" t="s">
        <v>550</v>
      </c>
      <c r="E258" s="15">
        <v>-3</v>
      </c>
      <c r="F258" s="15">
        <v>33</v>
      </c>
      <c r="G258" s="15" t="s">
        <v>639</v>
      </c>
      <c r="H258" s="21" t="s">
        <v>770</v>
      </c>
      <c r="I258" s="22">
        <f t="shared" si="12"/>
        <v>1274.2268041237114</v>
      </c>
      <c r="J258" s="19">
        <f t="shared" si="13"/>
        <v>929.32330827067665</v>
      </c>
      <c r="K258" s="19">
        <f t="shared" si="14"/>
        <v>630.61224489795916</v>
      </c>
      <c r="L258" s="19">
        <f t="shared" si="15"/>
        <v>386.25</v>
      </c>
    </row>
    <row r="259" spans="1:12" ht="15" thickBot="1" x14ac:dyDescent="0.35">
      <c r="A259" s="6">
        <v>2132</v>
      </c>
      <c r="B259" s="9" t="s">
        <v>268</v>
      </c>
      <c r="C259" s="8">
        <v>68</v>
      </c>
      <c r="D259" s="8" t="s">
        <v>551</v>
      </c>
      <c r="E259" s="8">
        <v>-3</v>
      </c>
      <c r="F259" s="8">
        <v>31</v>
      </c>
      <c r="G259" s="8" t="s">
        <v>631</v>
      </c>
      <c r="H259" s="20" t="s">
        <v>710</v>
      </c>
      <c r="I259" s="22">
        <f t="shared" ref="I259:I313" si="16" xml:space="preserve"> D259 / (1 + E259/100)</f>
        <v>1016.4948453608248</v>
      </c>
      <c r="J259" s="19">
        <f t="shared" ref="J259:J313" si="17" xml:space="preserve"> D259 / (1 + F259/100)</f>
        <v>752.67175572519079</v>
      </c>
      <c r="K259" s="19">
        <f t="shared" ref="K259:K313" si="18" xml:space="preserve"> D259 / (1 + G259/100)</f>
        <v>557.06214689265539</v>
      </c>
      <c r="L259" s="19">
        <f t="shared" ref="L259:L313" si="19" xml:space="preserve"> D259 / (1 + H259/100)</f>
        <v>340</v>
      </c>
    </row>
    <row r="260" spans="1:12" ht="15" thickBot="1" x14ac:dyDescent="0.35">
      <c r="A260" s="13">
        <v>2161</v>
      </c>
      <c r="B260" s="14" t="s">
        <v>269</v>
      </c>
      <c r="C260" s="15">
        <v>133</v>
      </c>
      <c r="D260" s="15" t="s">
        <v>552</v>
      </c>
      <c r="E260" s="15" t="s">
        <v>794</v>
      </c>
      <c r="F260" s="15">
        <v>47</v>
      </c>
      <c r="G260" s="15" t="s">
        <v>787</v>
      </c>
      <c r="H260" s="21" t="s">
        <v>710</v>
      </c>
      <c r="I260" s="22">
        <f t="shared" si="16"/>
        <v>1688.4615384615383</v>
      </c>
      <c r="J260" s="19">
        <f t="shared" si="17"/>
        <v>1194.5578231292518</v>
      </c>
      <c r="K260" s="19">
        <f t="shared" si="18"/>
        <v>869.30693069306926</v>
      </c>
      <c r="L260" s="19">
        <f t="shared" si="19"/>
        <v>605.51724137931035</v>
      </c>
    </row>
    <row r="261" spans="1:12" ht="15" thickBot="1" x14ac:dyDescent="0.35">
      <c r="A261" s="6">
        <v>2180</v>
      </c>
      <c r="B261" s="9" t="s">
        <v>270</v>
      </c>
      <c r="C261" s="8">
        <v>479</v>
      </c>
      <c r="D261" s="8" t="s">
        <v>553</v>
      </c>
      <c r="E261" s="8" t="s">
        <v>796</v>
      </c>
      <c r="F261" s="8">
        <v>14</v>
      </c>
      <c r="G261" s="8" t="s">
        <v>604</v>
      </c>
      <c r="H261" s="20" t="s">
        <v>746</v>
      </c>
      <c r="I261" s="22">
        <f t="shared" si="16"/>
        <v>3245.6310679611652</v>
      </c>
      <c r="J261" s="19">
        <f t="shared" si="17"/>
        <v>2932.4561403508769</v>
      </c>
      <c r="K261" s="19">
        <f t="shared" si="18"/>
        <v>1989.8809523809523</v>
      </c>
      <c r="L261" s="19">
        <f t="shared" si="19"/>
        <v>1177.1126760563382</v>
      </c>
    </row>
    <row r="262" spans="1:12" ht="15" thickBot="1" x14ac:dyDescent="0.35">
      <c r="A262" s="13">
        <v>2181</v>
      </c>
      <c r="B262" s="14" t="s">
        <v>271</v>
      </c>
      <c r="C262" s="15">
        <v>315</v>
      </c>
      <c r="D262" s="15" t="s">
        <v>554</v>
      </c>
      <c r="E262" s="15" t="s">
        <v>796</v>
      </c>
      <c r="F262" s="15">
        <v>19</v>
      </c>
      <c r="G262" s="15" t="s">
        <v>634</v>
      </c>
      <c r="H262" s="21" t="s">
        <v>759</v>
      </c>
      <c r="I262" s="22">
        <f t="shared" si="16"/>
        <v>1878.6407766990292</v>
      </c>
      <c r="J262" s="19">
        <f t="shared" si="17"/>
        <v>1626.0504201680674</v>
      </c>
      <c r="K262" s="19">
        <f t="shared" si="18"/>
        <v>1075</v>
      </c>
      <c r="L262" s="19">
        <f t="shared" si="19"/>
        <v>708.79120879120876</v>
      </c>
    </row>
    <row r="263" spans="1:12" ht="15" thickBot="1" x14ac:dyDescent="0.35">
      <c r="A263" s="6">
        <v>2182</v>
      </c>
      <c r="B263" s="9" t="s">
        <v>272</v>
      </c>
      <c r="C263" s="8">
        <v>144</v>
      </c>
      <c r="D263" s="8" t="s">
        <v>478</v>
      </c>
      <c r="E263" s="8" t="s">
        <v>795</v>
      </c>
      <c r="F263" s="8">
        <v>35</v>
      </c>
      <c r="G263" s="8" t="s">
        <v>633</v>
      </c>
      <c r="H263" s="20" t="s">
        <v>679</v>
      </c>
      <c r="I263" s="22">
        <f t="shared" si="16"/>
        <v>1514.8148148148148</v>
      </c>
      <c r="J263" s="19">
        <f t="shared" si="17"/>
        <v>1211.8518518518517</v>
      </c>
      <c r="K263" s="19">
        <f t="shared" si="18"/>
        <v>826.26262626262621</v>
      </c>
      <c r="L263" s="19">
        <f t="shared" si="19"/>
        <v>550.84175084175092</v>
      </c>
    </row>
    <row r="264" spans="1:12" ht="15" thickBot="1" x14ac:dyDescent="0.35">
      <c r="A264" s="13">
        <v>2183</v>
      </c>
      <c r="B264" s="14" t="s">
        <v>273</v>
      </c>
      <c r="C264" s="15">
        <v>151</v>
      </c>
      <c r="D264" s="15" t="s">
        <v>555</v>
      </c>
      <c r="E264" s="15" t="s">
        <v>796</v>
      </c>
      <c r="F264" s="15">
        <v>31</v>
      </c>
      <c r="G264" s="15" t="s">
        <v>622</v>
      </c>
      <c r="H264" s="21" t="s">
        <v>754</v>
      </c>
      <c r="I264" s="22">
        <f t="shared" si="16"/>
        <v>1431.0679611650485</v>
      </c>
      <c r="J264" s="19">
        <f t="shared" si="17"/>
        <v>1125.1908396946565</v>
      </c>
      <c r="K264" s="19">
        <f t="shared" si="18"/>
        <v>775.78947368421052</v>
      </c>
      <c r="L264" s="19">
        <f t="shared" si="19"/>
        <v>503.07167235494887</v>
      </c>
    </row>
    <row r="265" spans="1:12" ht="15" thickBot="1" x14ac:dyDescent="0.35">
      <c r="A265" s="6">
        <v>2184</v>
      </c>
      <c r="B265" s="9" t="s">
        <v>274</v>
      </c>
      <c r="C265" s="8">
        <v>232</v>
      </c>
      <c r="D265" s="8" t="s">
        <v>556</v>
      </c>
      <c r="E265" s="8">
        <v>-3</v>
      </c>
      <c r="F265" s="8">
        <v>19</v>
      </c>
      <c r="G265" s="8" t="s">
        <v>626</v>
      </c>
      <c r="H265" s="20" t="s">
        <v>766</v>
      </c>
      <c r="I265" s="22">
        <f t="shared" si="16"/>
        <v>2243.2989690721652</v>
      </c>
      <c r="J265" s="19">
        <f t="shared" si="17"/>
        <v>1828.5714285714287</v>
      </c>
      <c r="K265" s="19">
        <f t="shared" si="18"/>
        <v>1280</v>
      </c>
      <c r="L265" s="19">
        <f t="shared" si="19"/>
        <v>725.33333333333337</v>
      </c>
    </row>
    <row r="266" spans="1:12" ht="28.2" thickBot="1" x14ac:dyDescent="0.35">
      <c r="A266" s="13"/>
      <c r="B266" s="16" t="s">
        <v>275</v>
      </c>
      <c r="C266" s="15"/>
      <c r="D266" s="15" t="s">
        <v>324</v>
      </c>
      <c r="E266" s="15" t="s">
        <v>324</v>
      </c>
      <c r="F266" s="15"/>
      <c r="G266" s="15" t="s">
        <v>324</v>
      </c>
      <c r="H266" s="21" t="s">
        <v>324</v>
      </c>
      <c r="I266" s="22" t="e">
        <f t="shared" si="16"/>
        <v>#VALUE!</v>
      </c>
      <c r="J266" s="19" t="e">
        <f t="shared" si="17"/>
        <v>#VALUE!</v>
      </c>
      <c r="K266" s="19" t="e">
        <f t="shared" si="18"/>
        <v>#VALUE!</v>
      </c>
      <c r="L266" s="19" t="e">
        <f t="shared" si="19"/>
        <v>#VALUE!</v>
      </c>
    </row>
    <row r="267" spans="1:12" ht="15" thickBot="1" x14ac:dyDescent="0.35">
      <c r="A267" s="6">
        <v>2260</v>
      </c>
      <c r="B267" s="9" t="s">
        <v>276</v>
      </c>
      <c r="C267" s="8">
        <v>78</v>
      </c>
      <c r="D267" s="8" t="s">
        <v>557</v>
      </c>
      <c r="E267" s="8" t="s">
        <v>803</v>
      </c>
      <c r="F267" s="8">
        <v>70</v>
      </c>
      <c r="G267" s="8" t="s">
        <v>669</v>
      </c>
      <c r="H267" s="20" t="s">
        <v>681</v>
      </c>
      <c r="I267" s="22">
        <f t="shared" si="16"/>
        <v>744.14414414414409</v>
      </c>
      <c r="J267" s="19">
        <f t="shared" si="17"/>
        <v>485.88235294117646</v>
      </c>
      <c r="K267" s="19">
        <f xml:space="preserve"> D267 / (1 + G267/100)</f>
        <v>359.13043478260875</v>
      </c>
      <c r="L267" s="19">
        <f t="shared" si="19"/>
        <v>263.89776357827475</v>
      </c>
    </row>
    <row r="268" spans="1:12" ht="15" thickBot="1" x14ac:dyDescent="0.35">
      <c r="A268" s="13">
        <v>2262</v>
      </c>
      <c r="B268" s="14" t="s">
        <v>277</v>
      </c>
      <c r="C268" s="15">
        <v>109</v>
      </c>
      <c r="D268" s="15" t="s">
        <v>558</v>
      </c>
      <c r="E268" s="15">
        <v>-7</v>
      </c>
      <c r="F268" s="15">
        <v>24</v>
      </c>
      <c r="G268" s="15" t="s">
        <v>634</v>
      </c>
      <c r="H268" s="21" t="s">
        <v>735</v>
      </c>
      <c r="I268" s="22">
        <f t="shared" si="16"/>
        <v>1878.4946236559142</v>
      </c>
      <c r="J268" s="19">
        <f t="shared" si="17"/>
        <v>1408.8709677419356</v>
      </c>
      <c r="K268" s="19">
        <f t="shared" si="18"/>
        <v>970.55555555555554</v>
      </c>
      <c r="L268" s="19">
        <f t="shared" si="19"/>
        <v>606.59722222222229</v>
      </c>
    </row>
    <row r="269" spans="1:12" ht="15" thickBot="1" x14ac:dyDescent="0.35">
      <c r="A269" s="6">
        <v>2280</v>
      </c>
      <c r="B269" s="9" t="s">
        <v>278</v>
      </c>
      <c r="C269" s="8">
        <v>189</v>
      </c>
      <c r="D269" s="8" t="s">
        <v>559</v>
      </c>
      <c r="E269" s="8" t="s">
        <v>793</v>
      </c>
      <c r="F269" s="8">
        <v>31</v>
      </c>
      <c r="G269" s="8" t="s">
        <v>627</v>
      </c>
      <c r="H269" s="20" t="s">
        <v>664</v>
      </c>
      <c r="I269" s="22">
        <f t="shared" si="16"/>
        <v>1423.7623762376238</v>
      </c>
      <c r="J269" s="19">
        <f t="shared" si="17"/>
        <v>1097.709923664122</v>
      </c>
      <c r="K269" s="19">
        <f t="shared" si="18"/>
        <v>826.43678160919535</v>
      </c>
      <c r="L269" s="19">
        <f t="shared" si="19"/>
        <v>544.69696969696975</v>
      </c>
    </row>
    <row r="270" spans="1:12" ht="15" thickBot="1" x14ac:dyDescent="0.35">
      <c r="A270" s="13">
        <v>2281</v>
      </c>
      <c r="B270" s="14" t="s">
        <v>279</v>
      </c>
      <c r="C270" s="15">
        <v>537</v>
      </c>
      <c r="D270" s="15" t="s">
        <v>560</v>
      </c>
      <c r="E270" s="15" t="s">
        <v>793</v>
      </c>
      <c r="F270" s="15">
        <v>23</v>
      </c>
      <c r="G270" s="15" t="s">
        <v>599</v>
      </c>
      <c r="H270" s="21" t="s">
        <v>712</v>
      </c>
      <c r="I270" s="22">
        <f t="shared" si="16"/>
        <v>2622.772277227723</v>
      </c>
      <c r="J270" s="19">
        <f t="shared" si="17"/>
        <v>2153.6585365853657</v>
      </c>
      <c r="K270" s="19">
        <f t="shared" si="18"/>
        <v>1479.8882681564246</v>
      </c>
      <c r="L270" s="19">
        <f t="shared" si="19"/>
        <v>854.51612903225805</v>
      </c>
    </row>
    <row r="271" spans="1:12" ht="15" thickBot="1" x14ac:dyDescent="0.35">
      <c r="A271" s="6">
        <v>2282</v>
      </c>
      <c r="B271" s="9" t="s">
        <v>280</v>
      </c>
      <c r="C271" s="8">
        <v>167</v>
      </c>
      <c r="D271" s="8" t="s">
        <v>561</v>
      </c>
      <c r="E271" s="8" t="s">
        <v>808</v>
      </c>
      <c r="F271" s="8">
        <v>40</v>
      </c>
      <c r="G271" s="8" t="s">
        <v>705</v>
      </c>
      <c r="H271" s="20" t="s">
        <v>732</v>
      </c>
      <c r="I271" s="22">
        <f t="shared" si="16"/>
        <v>630.70175438596482</v>
      </c>
      <c r="J271" s="19">
        <f t="shared" si="17"/>
        <v>513.57142857142856</v>
      </c>
      <c r="K271" s="19">
        <f t="shared" si="18"/>
        <v>359.5</v>
      </c>
      <c r="L271" s="19">
        <f t="shared" si="19"/>
        <v>289.91935483870969</v>
      </c>
    </row>
    <row r="272" spans="1:12" ht="15" thickBot="1" x14ac:dyDescent="0.35">
      <c r="A272" s="13">
        <v>2283</v>
      </c>
      <c r="B272" s="14" t="s">
        <v>281</v>
      </c>
      <c r="C272" s="15">
        <v>135</v>
      </c>
      <c r="D272" s="15" t="s">
        <v>562</v>
      </c>
      <c r="E272" s="15" t="s">
        <v>802</v>
      </c>
      <c r="F272" s="15">
        <v>44</v>
      </c>
      <c r="G272" s="15" t="s">
        <v>645</v>
      </c>
      <c r="H272" s="21" t="s">
        <v>690</v>
      </c>
      <c r="I272" s="22">
        <f t="shared" si="16"/>
        <v>789.71962616822429</v>
      </c>
      <c r="J272" s="19">
        <f t="shared" si="17"/>
        <v>586.80555555555554</v>
      </c>
      <c r="K272" s="19">
        <f t="shared" si="18"/>
        <v>449.468085106383</v>
      </c>
      <c r="L272" s="19">
        <f t="shared" si="19"/>
        <v>326.2548262548263</v>
      </c>
    </row>
    <row r="273" spans="1:12" ht="15" thickBot="1" x14ac:dyDescent="0.35">
      <c r="A273" s="6">
        <v>2284</v>
      </c>
      <c r="B273" s="9" t="s">
        <v>282</v>
      </c>
      <c r="C273" s="8">
        <v>343</v>
      </c>
      <c r="D273" s="8" t="s">
        <v>563</v>
      </c>
      <c r="E273" s="8" t="s">
        <v>793</v>
      </c>
      <c r="F273" s="8">
        <v>27</v>
      </c>
      <c r="G273" s="8" t="s">
        <v>644</v>
      </c>
      <c r="H273" s="20" t="s">
        <v>677</v>
      </c>
      <c r="I273" s="22">
        <f t="shared" si="16"/>
        <v>1652.4752475247524</v>
      </c>
      <c r="J273" s="19">
        <f t="shared" si="17"/>
        <v>1314.1732283464567</v>
      </c>
      <c r="K273" s="19">
        <f t="shared" si="18"/>
        <v>976.0233918128655</v>
      </c>
      <c r="L273" s="19">
        <f t="shared" si="19"/>
        <v>563.85135135135135</v>
      </c>
    </row>
    <row r="274" spans="1:12" ht="15" thickBot="1" x14ac:dyDescent="0.35">
      <c r="A274" s="13"/>
      <c r="B274" s="16" t="s">
        <v>283</v>
      </c>
      <c r="C274" s="15"/>
      <c r="D274" s="15" t="s">
        <v>324</v>
      </c>
      <c r="E274" s="15" t="s">
        <v>324</v>
      </c>
      <c r="F274" s="15"/>
      <c r="G274" s="15" t="s">
        <v>324</v>
      </c>
      <c r="H274" s="21" t="s">
        <v>324</v>
      </c>
      <c r="I274" s="22" t="e">
        <f t="shared" si="16"/>
        <v>#VALUE!</v>
      </c>
      <c r="J274" s="19" t="e">
        <f t="shared" si="17"/>
        <v>#VALUE!</v>
      </c>
      <c r="K274" s="19" t="e">
        <f t="shared" si="18"/>
        <v>#VALUE!</v>
      </c>
      <c r="L274" s="19" t="e">
        <f t="shared" si="19"/>
        <v>#VALUE!</v>
      </c>
    </row>
    <row r="275" spans="1:12" ht="15" thickBot="1" x14ac:dyDescent="0.35">
      <c r="A275" s="6">
        <v>2303</v>
      </c>
      <c r="B275" s="9" t="s">
        <v>284</v>
      </c>
      <c r="C275" s="8">
        <v>34</v>
      </c>
      <c r="D275" s="8" t="s">
        <v>564</v>
      </c>
      <c r="E275" s="8" t="s">
        <v>796</v>
      </c>
      <c r="F275" s="8">
        <v>39</v>
      </c>
      <c r="G275" s="8" t="s">
        <v>788</v>
      </c>
      <c r="H275" s="20" t="s">
        <v>736</v>
      </c>
      <c r="I275" s="22">
        <f t="shared" si="16"/>
        <v>528.15533980582518</v>
      </c>
      <c r="J275" s="19">
        <f t="shared" si="17"/>
        <v>391.3669064748201</v>
      </c>
      <c r="K275" s="19">
        <f t="shared" si="18"/>
        <v>251.85185185185185</v>
      </c>
      <c r="L275" s="19">
        <f t="shared" si="19"/>
        <v>215.87301587301587</v>
      </c>
    </row>
    <row r="276" spans="1:12" ht="15" thickBot="1" x14ac:dyDescent="0.35">
      <c r="A276" s="13">
        <v>2305</v>
      </c>
      <c r="B276" s="14" t="s">
        <v>285</v>
      </c>
      <c r="C276" s="15">
        <v>46</v>
      </c>
      <c r="D276" s="15" t="s">
        <v>565</v>
      </c>
      <c r="E276" s="15" t="s">
        <v>792</v>
      </c>
      <c r="F276" s="15">
        <v>49</v>
      </c>
      <c r="G276" s="15" t="s">
        <v>626</v>
      </c>
      <c r="H276" s="21" t="s">
        <v>673</v>
      </c>
      <c r="I276" s="22">
        <f t="shared" si="16"/>
        <v>712.74509803921569</v>
      </c>
      <c r="J276" s="19">
        <f t="shared" si="17"/>
        <v>487.91946308724835</v>
      </c>
      <c r="K276" s="19">
        <f t="shared" si="18"/>
        <v>427.64705882352945</v>
      </c>
      <c r="L276" s="19">
        <f t="shared" si="19"/>
        <v>317.46724890829694</v>
      </c>
    </row>
    <row r="277" spans="1:12" ht="15" thickBot="1" x14ac:dyDescent="0.35">
      <c r="A277" s="6">
        <v>2309</v>
      </c>
      <c r="B277" s="9" t="s">
        <v>286</v>
      </c>
      <c r="C277" s="8">
        <v>128</v>
      </c>
      <c r="D277" s="8" t="s">
        <v>566</v>
      </c>
      <c r="E277" s="8" t="s">
        <v>796</v>
      </c>
      <c r="F277" s="8">
        <v>33</v>
      </c>
      <c r="G277" s="8" t="s">
        <v>654</v>
      </c>
      <c r="H277" s="20" t="s">
        <v>771</v>
      </c>
      <c r="I277" s="22">
        <f t="shared" si="16"/>
        <v>2454.3689320388348</v>
      </c>
      <c r="J277" s="19">
        <f t="shared" si="17"/>
        <v>1900.7518796992481</v>
      </c>
      <c r="K277" s="19">
        <f t="shared" si="18"/>
        <v>1337.5661375661375</v>
      </c>
      <c r="L277" s="19">
        <f t="shared" si="19"/>
        <v>777.84615384615381</v>
      </c>
    </row>
    <row r="278" spans="1:12" ht="15" thickBot="1" x14ac:dyDescent="0.35">
      <c r="A278" s="13">
        <v>2313</v>
      </c>
      <c r="B278" s="14" t="s">
        <v>287</v>
      </c>
      <c r="C278" s="15">
        <v>82</v>
      </c>
      <c r="D278" s="15" t="s">
        <v>567</v>
      </c>
      <c r="E278" s="15" t="s">
        <v>808</v>
      </c>
      <c r="F278" s="15">
        <v>40</v>
      </c>
      <c r="G278" s="15" t="s">
        <v>599</v>
      </c>
      <c r="H278" s="21" t="s">
        <v>661</v>
      </c>
      <c r="I278" s="22">
        <f t="shared" si="16"/>
        <v>659.64912280701742</v>
      </c>
      <c r="J278" s="19">
        <f t="shared" si="17"/>
        <v>537.14285714285722</v>
      </c>
      <c r="K278" s="19">
        <f t="shared" si="18"/>
        <v>420.1117318435754</v>
      </c>
      <c r="L278" s="19">
        <f t="shared" si="19"/>
        <v>280.59701492537317</v>
      </c>
    </row>
    <row r="279" spans="1:12" ht="15" thickBot="1" x14ac:dyDescent="0.35">
      <c r="A279" s="6">
        <v>2321</v>
      </c>
      <c r="B279" s="9" t="s">
        <v>288</v>
      </c>
      <c r="C279" s="8">
        <v>104</v>
      </c>
      <c r="D279" s="8" t="s">
        <v>568</v>
      </c>
      <c r="E279" s="8" t="s">
        <v>808</v>
      </c>
      <c r="F279" s="8">
        <v>44</v>
      </c>
      <c r="G279" s="8" t="s">
        <v>673</v>
      </c>
      <c r="H279" s="20" t="s">
        <v>772</v>
      </c>
      <c r="I279" s="22">
        <f t="shared" si="16"/>
        <v>3370.1754385964909</v>
      </c>
      <c r="J279" s="19">
        <f t="shared" si="17"/>
        <v>2668.0555555555557</v>
      </c>
      <c r="K279" s="19">
        <f t="shared" si="18"/>
        <v>1677.7292576419213</v>
      </c>
      <c r="L279" s="19">
        <f t="shared" si="19"/>
        <v>904</v>
      </c>
    </row>
    <row r="280" spans="1:12" ht="15" thickBot="1" x14ac:dyDescent="0.35">
      <c r="A280" s="13">
        <v>2326</v>
      </c>
      <c r="B280" s="14" t="s">
        <v>289</v>
      </c>
      <c r="C280" s="15">
        <v>46</v>
      </c>
      <c r="D280" s="15" t="s">
        <v>569</v>
      </c>
      <c r="E280" s="15" t="s">
        <v>792</v>
      </c>
      <c r="F280" s="15">
        <v>55</v>
      </c>
      <c r="G280" s="15" t="s">
        <v>781</v>
      </c>
      <c r="H280" s="21" t="s">
        <v>760</v>
      </c>
      <c r="I280" s="22">
        <f t="shared" si="16"/>
        <v>1038.2352941176471</v>
      </c>
      <c r="J280" s="19">
        <f t="shared" si="17"/>
        <v>683.22580645161293</v>
      </c>
      <c r="K280" s="19">
        <f t="shared" si="18"/>
        <v>521.67487684729053</v>
      </c>
      <c r="L280" s="19">
        <f t="shared" si="19"/>
        <v>362.67123287671234</v>
      </c>
    </row>
    <row r="281" spans="1:12" ht="15" thickBot="1" x14ac:dyDescent="0.35">
      <c r="A281" s="6">
        <v>2361</v>
      </c>
      <c r="B281" s="9" t="s">
        <v>290</v>
      </c>
      <c r="C281" s="8">
        <v>85</v>
      </c>
      <c r="D281" s="8" t="s">
        <v>570</v>
      </c>
      <c r="E281" s="8" t="s">
        <v>805</v>
      </c>
      <c r="F281" s="8">
        <v>62</v>
      </c>
      <c r="G281" s="8" t="s">
        <v>789</v>
      </c>
      <c r="H281" s="20" t="s">
        <v>773</v>
      </c>
      <c r="I281" s="22">
        <f t="shared" si="16"/>
        <v>1611.8181818181818</v>
      </c>
      <c r="J281" s="19">
        <f t="shared" si="17"/>
        <v>1094.4444444444443</v>
      </c>
      <c r="K281" s="19">
        <f t="shared" si="18"/>
        <v>813.30275229357812</v>
      </c>
      <c r="L281" s="19">
        <f t="shared" si="19"/>
        <v>548.9164086687307</v>
      </c>
    </row>
    <row r="282" spans="1:12" ht="15" thickBot="1" x14ac:dyDescent="0.35">
      <c r="A282" s="13">
        <v>2380</v>
      </c>
      <c r="B282" s="14" t="s">
        <v>291</v>
      </c>
      <c r="C282" s="15">
        <v>293</v>
      </c>
      <c r="D282" s="15" t="s">
        <v>571</v>
      </c>
      <c r="E282" s="15" t="s">
        <v>799</v>
      </c>
      <c r="F282" s="15">
        <v>30</v>
      </c>
      <c r="G282" s="15" t="s">
        <v>657</v>
      </c>
      <c r="H282" s="21" t="s">
        <v>774</v>
      </c>
      <c r="I282" s="22">
        <f t="shared" si="16"/>
        <v>3648</v>
      </c>
      <c r="J282" s="19">
        <f t="shared" si="17"/>
        <v>2806.1538461538462</v>
      </c>
      <c r="K282" s="19">
        <f t="shared" si="18"/>
        <v>2120.9302325581398</v>
      </c>
      <c r="L282" s="19">
        <f t="shared" si="19"/>
        <v>1150.7886435331231</v>
      </c>
    </row>
    <row r="283" spans="1:12" ht="28.2" thickBot="1" x14ac:dyDescent="0.35">
      <c r="A283" s="6"/>
      <c r="B283" s="7" t="s">
        <v>292</v>
      </c>
      <c r="C283" s="8"/>
      <c r="D283" s="8" t="s">
        <v>324</v>
      </c>
      <c r="E283" s="8" t="s">
        <v>324</v>
      </c>
      <c r="F283" s="8"/>
      <c r="G283" s="8" t="s">
        <v>324</v>
      </c>
      <c r="H283" s="20" t="s">
        <v>324</v>
      </c>
      <c r="I283" s="22" t="e">
        <f t="shared" si="16"/>
        <v>#VALUE!</v>
      </c>
      <c r="J283" s="19" t="e">
        <f t="shared" si="17"/>
        <v>#VALUE!</v>
      </c>
      <c r="K283" s="19" t="e">
        <f t="shared" si="18"/>
        <v>#VALUE!</v>
      </c>
      <c r="L283" s="19" t="e">
        <f t="shared" si="19"/>
        <v>#VALUE!</v>
      </c>
    </row>
    <row r="284" spans="1:12" ht="15" thickBot="1" x14ac:dyDescent="0.35">
      <c r="A284" s="13">
        <v>2401</v>
      </c>
      <c r="B284" s="14" t="s">
        <v>293</v>
      </c>
      <c r="C284" s="15">
        <v>45</v>
      </c>
      <c r="D284" s="15" t="s">
        <v>572</v>
      </c>
      <c r="E284" s="15">
        <v>-3</v>
      </c>
      <c r="F284" s="15">
        <v>12</v>
      </c>
      <c r="G284" s="15" t="s">
        <v>600</v>
      </c>
      <c r="H284" s="21" t="s">
        <v>668</v>
      </c>
      <c r="I284" s="22">
        <f t="shared" si="16"/>
        <v>1332.9896907216496</v>
      </c>
      <c r="J284" s="19">
        <f t="shared" si="17"/>
        <v>1154.4642857142856</v>
      </c>
      <c r="K284" s="19">
        <f t="shared" si="18"/>
        <v>714.36464088397793</v>
      </c>
      <c r="L284" s="19">
        <f t="shared" si="19"/>
        <v>478.88888888888886</v>
      </c>
    </row>
    <row r="285" spans="1:12" ht="15" thickBot="1" x14ac:dyDescent="0.35">
      <c r="A285" s="6">
        <v>2403</v>
      </c>
      <c r="B285" s="9" t="s">
        <v>294</v>
      </c>
      <c r="C285" s="8">
        <v>16</v>
      </c>
      <c r="D285" s="8" t="s">
        <v>573</v>
      </c>
      <c r="E285" s="8" t="s">
        <v>804</v>
      </c>
      <c r="F285" s="8">
        <v>67</v>
      </c>
      <c r="G285" s="8" t="s">
        <v>633</v>
      </c>
      <c r="H285" s="20" t="s">
        <v>727</v>
      </c>
      <c r="I285" s="22">
        <f t="shared" si="16"/>
        <v>876.1467889908256</v>
      </c>
      <c r="J285" s="19">
        <f t="shared" si="17"/>
        <v>571.85628742514973</v>
      </c>
      <c r="K285" s="19">
        <f t="shared" si="18"/>
        <v>482.32323232323233</v>
      </c>
      <c r="L285" s="19">
        <f t="shared" si="19"/>
        <v>393.00411522633749</v>
      </c>
    </row>
    <row r="286" spans="1:12" ht="15" thickBot="1" x14ac:dyDescent="0.35">
      <c r="A286" s="13">
        <v>2404</v>
      </c>
      <c r="B286" s="14" t="s">
        <v>295</v>
      </c>
      <c r="C286" s="15">
        <v>39</v>
      </c>
      <c r="D286" s="15" t="s">
        <v>574</v>
      </c>
      <c r="E286" s="15" t="s">
        <v>794</v>
      </c>
      <c r="F286" s="15">
        <v>37</v>
      </c>
      <c r="G286" s="15" t="s">
        <v>678</v>
      </c>
      <c r="H286" s="21" t="s">
        <v>760</v>
      </c>
      <c r="I286" s="22">
        <f t="shared" si="16"/>
        <v>1106.7307692307693</v>
      </c>
      <c r="J286" s="19">
        <f t="shared" si="17"/>
        <v>840.14598540145982</v>
      </c>
      <c r="K286" s="19">
        <f t="shared" si="18"/>
        <v>535.34883720930236</v>
      </c>
      <c r="L286" s="19">
        <f t="shared" si="19"/>
        <v>394.17808219178085</v>
      </c>
    </row>
    <row r="287" spans="1:12" ht="15" thickBot="1" x14ac:dyDescent="0.35">
      <c r="A287" s="6">
        <v>2409</v>
      </c>
      <c r="B287" s="9" t="s">
        <v>296</v>
      </c>
      <c r="C287" s="8">
        <v>57</v>
      </c>
      <c r="D287" s="8" t="s">
        <v>524</v>
      </c>
      <c r="E287" s="8">
        <v>-6</v>
      </c>
      <c r="F287" s="8">
        <v>19</v>
      </c>
      <c r="G287" s="8" t="s">
        <v>603</v>
      </c>
      <c r="H287" s="20" t="s">
        <v>683</v>
      </c>
      <c r="I287" s="22">
        <f t="shared" si="16"/>
        <v>1703.1914893617022</v>
      </c>
      <c r="J287" s="19">
        <f t="shared" si="17"/>
        <v>1345.3781512605042</v>
      </c>
      <c r="K287" s="19">
        <f t="shared" si="18"/>
        <v>829.53367875647666</v>
      </c>
      <c r="L287" s="19">
        <f t="shared" si="19"/>
        <v>588.60294117647061</v>
      </c>
    </row>
    <row r="288" spans="1:12" ht="15" thickBot="1" x14ac:dyDescent="0.35">
      <c r="A288" s="13">
        <v>2417</v>
      </c>
      <c r="B288" s="14" t="s">
        <v>297</v>
      </c>
      <c r="C288" s="15">
        <v>26</v>
      </c>
      <c r="D288" s="15" t="s">
        <v>575</v>
      </c>
      <c r="E288" s="15" t="s">
        <v>806</v>
      </c>
      <c r="F288" s="15">
        <v>71</v>
      </c>
      <c r="G288" s="15" t="s">
        <v>721</v>
      </c>
      <c r="H288" s="21" t="s">
        <v>737</v>
      </c>
      <c r="I288" s="22">
        <f t="shared" si="16"/>
        <v>655.75221238938059</v>
      </c>
      <c r="J288" s="19">
        <f t="shared" si="17"/>
        <v>433.33333333333331</v>
      </c>
      <c r="K288" s="19">
        <f t="shared" si="18"/>
        <v>326.43171806167402</v>
      </c>
      <c r="L288" s="19">
        <f t="shared" si="19"/>
        <v>267.50902527075812</v>
      </c>
    </row>
    <row r="289" spans="1:12" ht="15" thickBot="1" x14ac:dyDescent="0.35">
      <c r="A289" s="6">
        <v>2418</v>
      </c>
      <c r="B289" s="9" t="s">
        <v>298</v>
      </c>
      <c r="C289" s="8">
        <v>18</v>
      </c>
      <c r="D289" s="8" t="s">
        <v>576</v>
      </c>
      <c r="E289" s="8" t="s">
        <v>814</v>
      </c>
      <c r="F289" s="8">
        <v>32</v>
      </c>
      <c r="G289" s="8" t="s">
        <v>649</v>
      </c>
      <c r="H289" s="20" t="s">
        <v>602</v>
      </c>
      <c r="I289" s="22">
        <f t="shared" si="16"/>
        <v>550</v>
      </c>
      <c r="J289" s="19">
        <f t="shared" si="17"/>
        <v>491.66666666666663</v>
      </c>
      <c r="K289" s="19">
        <f t="shared" si="18"/>
        <v>347.05882352941177</v>
      </c>
      <c r="L289" s="19">
        <f t="shared" si="19"/>
        <v>375.14450867052022</v>
      </c>
    </row>
    <row r="290" spans="1:12" ht="15" thickBot="1" x14ac:dyDescent="0.35">
      <c r="A290" s="13">
        <v>2421</v>
      </c>
      <c r="B290" s="14" t="s">
        <v>299</v>
      </c>
      <c r="C290" s="15">
        <v>41</v>
      </c>
      <c r="D290" s="15" t="s">
        <v>577</v>
      </c>
      <c r="E290" s="15" t="s">
        <v>809</v>
      </c>
      <c r="F290" s="15">
        <v>41</v>
      </c>
      <c r="G290" s="15" t="s">
        <v>686</v>
      </c>
      <c r="H290" s="21" t="s">
        <v>695</v>
      </c>
      <c r="I290" s="22">
        <f t="shared" si="16"/>
        <v>782.92682926829275</v>
      </c>
      <c r="J290" s="19">
        <f t="shared" si="17"/>
        <v>682.97872340425533</v>
      </c>
      <c r="K290" s="19">
        <f t="shared" si="18"/>
        <v>401.25</v>
      </c>
      <c r="L290" s="19">
        <f t="shared" si="19"/>
        <v>311.65048543689323</v>
      </c>
    </row>
    <row r="291" spans="1:12" ht="15" thickBot="1" x14ac:dyDescent="0.35">
      <c r="A291" s="6">
        <v>2422</v>
      </c>
      <c r="B291" s="9" t="s">
        <v>300</v>
      </c>
      <c r="C291" s="8">
        <v>18</v>
      </c>
      <c r="D291" s="8" t="s">
        <v>578</v>
      </c>
      <c r="E291" s="8" t="s">
        <v>648</v>
      </c>
      <c r="F291" s="8">
        <v>101</v>
      </c>
      <c r="G291" s="8" t="s">
        <v>676</v>
      </c>
      <c r="H291" s="20" t="s">
        <v>713</v>
      </c>
      <c r="I291" s="22">
        <f t="shared" si="16"/>
        <v>420</v>
      </c>
      <c r="J291" s="19">
        <f t="shared" si="17"/>
        <v>282.08955223880599</v>
      </c>
      <c r="K291" s="19">
        <f t="shared" si="18"/>
        <v>212.35955056179776</v>
      </c>
      <c r="L291" s="19">
        <f t="shared" si="19"/>
        <v>203.2258064516129</v>
      </c>
    </row>
    <row r="292" spans="1:12" ht="15" thickBot="1" x14ac:dyDescent="0.35">
      <c r="A292" s="13">
        <v>2425</v>
      </c>
      <c r="B292" s="14" t="s">
        <v>301</v>
      </c>
      <c r="C292" s="15">
        <v>13</v>
      </c>
      <c r="D292" s="15" t="s">
        <v>579</v>
      </c>
      <c r="E292" s="15" t="s">
        <v>815</v>
      </c>
      <c r="F292" s="15">
        <v>56</v>
      </c>
      <c r="G292" s="15" t="s">
        <v>621</v>
      </c>
      <c r="H292" s="21" t="s">
        <v>717</v>
      </c>
      <c r="I292" s="22">
        <f t="shared" si="16"/>
        <v>426.71755725190837</v>
      </c>
      <c r="J292" s="19">
        <f t="shared" si="17"/>
        <v>358.33333333333331</v>
      </c>
      <c r="K292" s="19">
        <f t="shared" si="18"/>
        <v>347.20496894409939</v>
      </c>
      <c r="L292" s="19">
        <f t="shared" si="19"/>
        <v>235.86497890295357</v>
      </c>
    </row>
    <row r="293" spans="1:12" ht="15" thickBot="1" x14ac:dyDescent="0.35">
      <c r="A293" s="6">
        <v>2460</v>
      </c>
      <c r="B293" s="9" t="s">
        <v>302</v>
      </c>
      <c r="C293" s="8">
        <v>71</v>
      </c>
      <c r="D293" s="8" t="s">
        <v>580</v>
      </c>
      <c r="E293" s="8">
        <v>-2</v>
      </c>
      <c r="F293" s="8">
        <v>38</v>
      </c>
      <c r="G293" s="8" t="s">
        <v>790</v>
      </c>
      <c r="H293" s="20" t="s">
        <v>682</v>
      </c>
      <c r="I293" s="22">
        <f t="shared" si="16"/>
        <v>2439.795918367347</v>
      </c>
      <c r="J293" s="19">
        <f t="shared" si="17"/>
        <v>1732.608695652174</v>
      </c>
      <c r="K293" s="19">
        <f t="shared" si="18"/>
        <v>1086.8181818181818</v>
      </c>
      <c r="L293" s="19">
        <f t="shared" si="19"/>
        <v>703.23529411764707</v>
      </c>
    </row>
    <row r="294" spans="1:12" ht="15" thickBot="1" x14ac:dyDescent="0.35">
      <c r="A294" s="13">
        <v>2462</v>
      </c>
      <c r="B294" s="14" t="s">
        <v>303</v>
      </c>
      <c r="C294" s="15">
        <v>51</v>
      </c>
      <c r="D294" s="15" t="s">
        <v>581</v>
      </c>
      <c r="E294" s="15" t="s">
        <v>796</v>
      </c>
      <c r="F294" s="15">
        <v>36</v>
      </c>
      <c r="G294" s="15" t="s">
        <v>635</v>
      </c>
      <c r="H294" s="21" t="s">
        <v>698</v>
      </c>
      <c r="I294" s="22">
        <f t="shared" si="16"/>
        <v>636.89320388349518</v>
      </c>
      <c r="J294" s="19">
        <f t="shared" si="17"/>
        <v>482.35294117647061</v>
      </c>
      <c r="K294" s="19">
        <f t="shared" si="18"/>
        <v>358.46994535519127</v>
      </c>
      <c r="L294" s="19">
        <f t="shared" si="19"/>
        <v>249.42965779467681</v>
      </c>
    </row>
    <row r="295" spans="1:12" ht="15" thickBot="1" x14ac:dyDescent="0.35">
      <c r="A295" s="6">
        <v>2463</v>
      </c>
      <c r="B295" s="9" t="s">
        <v>304</v>
      </c>
      <c r="C295" s="8">
        <v>29</v>
      </c>
      <c r="D295" s="8" t="s">
        <v>582</v>
      </c>
      <c r="E295" s="8" t="s">
        <v>658</v>
      </c>
      <c r="F295" s="8">
        <v>87</v>
      </c>
      <c r="G295" s="8" t="s">
        <v>757</v>
      </c>
      <c r="H295" s="20" t="s">
        <v>694</v>
      </c>
      <c r="I295" s="22">
        <f t="shared" si="16"/>
        <v>378.10218978102188</v>
      </c>
      <c r="J295" s="19">
        <f t="shared" si="17"/>
        <v>277.00534759358288</v>
      </c>
      <c r="K295" s="19">
        <f t="shared" si="18"/>
        <v>250.24154589371977</v>
      </c>
      <c r="L295" s="19">
        <f t="shared" si="19"/>
        <v>200.77519379844961</v>
      </c>
    </row>
    <row r="296" spans="1:12" ht="15" thickBot="1" x14ac:dyDescent="0.35">
      <c r="A296" s="13">
        <v>2480</v>
      </c>
      <c r="B296" s="14" t="s">
        <v>305</v>
      </c>
      <c r="C296" s="15">
        <v>664</v>
      </c>
      <c r="D296" s="15" t="s">
        <v>583</v>
      </c>
      <c r="E296" s="15" t="s">
        <v>799</v>
      </c>
      <c r="F296" s="15">
        <v>19</v>
      </c>
      <c r="G296" s="15" t="s">
        <v>621</v>
      </c>
      <c r="H296" s="21" t="s">
        <v>730</v>
      </c>
      <c r="I296" s="22">
        <f t="shared" si="16"/>
        <v>4102</v>
      </c>
      <c r="J296" s="19">
        <f t="shared" si="17"/>
        <v>3447.0588235294117</v>
      </c>
      <c r="K296" s="19">
        <f t="shared" si="18"/>
        <v>2547.826086956522</v>
      </c>
      <c r="L296" s="19">
        <f t="shared" si="19"/>
        <v>1454.6099290780141</v>
      </c>
    </row>
    <row r="297" spans="1:12" ht="15" thickBot="1" x14ac:dyDescent="0.35">
      <c r="A297" s="6">
        <v>2481</v>
      </c>
      <c r="B297" s="9" t="s">
        <v>306</v>
      </c>
      <c r="C297" s="8">
        <v>75</v>
      </c>
      <c r="D297" s="8" t="s">
        <v>399</v>
      </c>
      <c r="E297" s="8" t="s">
        <v>794</v>
      </c>
      <c r="F297" s="8">
        <v>32</v>
      </c>
      <c r="G297" s="8" t="s">
        <v>654</v>
      </c>
      <c r="H297" s="20" t="s">
        <v>760</v>
      </c>
      <c r="I297" s="22">
        <f t="shared" si="16"/>
        <v>1291.3461538461538</v>
      </c>
      <c r="J297" s="19">
        <f t="shared" si="17"/>
        <v>1017.4242424242424</v>
      </c>
      <c r="K297" s="19">
        <f t="shared" si="18"/>
        <v>710.58201058201053</v>
      </c>
      <c r="L297" s="19">
        <f t="shared" si="19"/>
        <v>459.9315068493151</v>
      </c>
    </row>
    <row r="298" spans="1:12" ht="15" thickBot="1" x14ac:dyDescent="0.35">
      <c r="A298" s="13">
        <v>2482</v>
      </c>
      <c r="B298" s="14" t="s">
        <v>307</v>
      </c>
      <c r="C298" s="15">
        <v>592</v>
      </c>
      <c r="D298" s="15" t="s">
        <v>584</v>
      </c>
      <c r="E298" s="15" t="s">
        <v>802</v>
      </c>
      <c r="F298" s="15">
        <v>52</v>
      </c>
      <c r="G298" s="15" t="s">
        <v>791</v>
      </c>
      <c r="H298" s="21" t="s">
        <v>775</v>
      </c>
      <c r="I298" s="22">
        <f t="shared" si="16"/>
        <v>2299.0654205607475</v>
      </c>
      <c r="J298" s="19">
        <f t="shared" si="17"/>
        <v>1618.421052631579</v>
      </c>
      <c r="K298" s="19">
        <f t="shared" si="18"/>
        <v>1098.2142857142856</v>
      </c>
      <c r="L298" s="19">
        <f t="shared" si="19"/>
        <v>605.91133004926098</v>
      </c>
    </row>
    <row r="299" spans="1:12" ht="15" thickBot="1" x14ac:dyDescent="0.35">
      <c r="A299" s="6"/>
      <c r="B299" s="7" t="s">
        <v>308</v>
      </c>
      <c r="C299" s="8"/>
      <c r="D299" s="8" t="s">
        <v>324</v>
      </c>
      <c r="E299" s="8" t="s">
        <v>324</v>
      </c>
      <c r="F299" s="8"/>
      <c r="G299" s="8" t="s">
        <v>324</v>
      </c>
      <c r="H299" s="20" t="s">
        <v>324</v>
      </c>
      <c r="I299" s="22" t="e">
        <f t="shared" si="16"/>
        <v>#VALUE!</v>
      </c>
      <c r="J299" s="19" t="e">
        <f t="shared" si="17"/>
        <v>#VALUE!</v>
      </c>
      <c r="K299" s="19" t="e">
        <f t="shared" si="18"/>
        <v>#VALUE!</v>
      </c>
      <c r="L299" s="19" t="e">
        <f t="shared" si="19"/>
        <v>#VALUE!</v>
      </c>
    </row>
    <row r="300" spans="1:12" ht="15" thickBot="1" x14ac:dyDescent="0.35">
      <c r="A300" s="13">
        <v>2505</v>
      </c>
      <c r="B300" s="14" t="s">
        <v>309</v>
      </c>
      <c r="C300" s="15">
        <v>49</v>
      </c>
      <c r="D300" s="15" t="s">
        <v>585</v>
      </c>
      <c r="E300" s="15" t="s">
        <v>804</v>
      </c>
      <c r="F300" s="15">
        <v>41</v>
      </c>
      <c r="G300" s="15" t="s">
        <v>789</v>
      </c>
      <c r="H300" s="21" t="s">
        <v>776</v>
      </c>
      <c r="I300" s="22">
        <f t="shared" si="16"/>
        <v>1017.4311926605504</v>
      </c>
      <c r="J300" s="19">
        <f t="shared" si="17"/>
        <v>786.52482269503548</v>
      </c>
      <c r="K300" s="19">
        <f t="shared" si="18"/>
        <v>508.71559633027528</v>
      </c>
      <c r="L300" s="19">
        <f t="shared" si="19"/>
        <v>311.51685393258424</v>
      </c>
    </row>
    <row r="301" spans="1:12" ht="15" thickBot="1" x14ac:dyDescent="0.35">
      <c r="A301" s="6">
        <v>2506</v>
      </c>
      <c r="B301" s="9" t="s">
        <v>310</v>
      </c>
      <c r="C301" s="8">
        <v>18</v>
      </c>
      <c r="D301" s="8" t="s">
        <v>586</v>
      </c>
      <c r="E301" s="8" t="s">
        <v>614</v>
      </c>
      <c r="F301" s="8">
        <v>49</v>
      </c>
      <c r="G301" s="8" t="s">
        <v>734</v>
      </c>
      <c r="H301" s="20" t="s">
        <v>777</v>
      </c>
      <c r="I301" s="22">
        <f t="shared" si="16"/>
        <v>796.36363636363637</v>
      </c>
      <c r="J301" s="19">
        <f t="shared" si="17"/>
        <v>881.87919463087246</v>
      </c>
      <c r="K301" s="19">
        <f t="shared" si="18"/>
        <v>511.28404669260692</v>
      </c>
      <c r="L301" s="19">
        <f t="shared" si="19"/>
        <v>277.21518987341773</v>
      </c>
    </row>
    <row r="302" spans="1:12" ht="15" thickBot="1" x14ac:dyDescent="0.35">
      <c r="A302" s="13">
        <v>2510</v>
      </c>
      <c r="B302" s="14" t="s">
        <v>311</v>
      </c>
      <c r="C302" s="15">
        <v>32</v>
      </c>
      <c r="D302" s="15" t="s">
        <v>587</v>
      </c>
      <c r="E302" s="15">
        <v>-4</v>
      </c>
      <c r="F302" s="15">
        <v>-5</v>
      </c>
      <c r="G302" s="15" t="s">
        <v>633</v>
      </c>
      <c r="H302" s="21" t="s">
        <v>756</v>
      </c>
      <c r="I302" s="22">
        <f t="shared" si="16"/>
        <v>1055.2083333333335</v>
      </c>
      <c r="J302" s="19">
        <f t="shared" si="17"/>
        <v>1066.3157894736842</v>
      </c>
      <c r="K302" s="19">
        <f t="shared" si="18"/>
        <v>511.61616161616161</v>
      </c>
      <c r="L302" s="19">
        <f t="shared" si="19"/>
        <v>360.4982206405694</v>
      </c>
    </row>
    <row r="303" spans="1:12" ht="15" thickBot="1" x14ac:dyDescent="0.35">
      <c r="A303" s="6">
        <v>2513</v>
      </c>
      <c r="B303" s="9" t="s">
        <v>312</v>
      </c>
      <c r="C303" s="8">
        <v>35</v>
      </c>
      <c r="D303" s="8" t="s">
        <v>588</v>
      </c>
      <c r="E303" s="8" t="s">
        <v>802</v>
      </c>
      <c r="F303" s="8">
        <v>44</v>
      </c>
      <c r="G303" s="8" t="s">
        <v>599</v>
      </c>
      <c r="H303" s="20" t="s">
        <v>698</v>
      </c>
      <c r="I303" s="22">
        <f t="shared" si="16"/>
        <v>572.89719626168221</v>
      </c>
      <c r="J303" s="19">
        <f t="shared" si="17"/>
        <v>425.69444444444446</v>
      </c>
      <c r="K303" s="19">
        <f t="shared" si="18"/>
        <v>342.45810055865923</v>
      </c>
      <c r="L303" s="19">
        <f t="shared" si="19"/>
        <v>233.07984790874525</v>
      </c>
    </row>
    <row r="304" spans="1:12" ht="15" thickBot="1" x14ac:dyDescent="0.35">
      <c r="A304" s="13">
        <v>2514</v>
      </c>
      <c r="B304" s="14" t="s">
        <v>313</v>
      </c>
      <c r="C304" s="15">
        <v>102</v>
      </c>
      <c r="D304" s="15" t="s">
        <v>589</v>
      </c>
      <c r="E304" s="15" t="s">
        <v>795</v>
      </c>
      <c r="F304" s="15">
        <v>27</v>
      </c>
      <c r="G304" s="15" t="s">
        <v>633</v>
      </c>
      <c r="H304" s="21" t="s">
        <v>737</v>
      </c>
      <c r="I304" s="22">
        <f t="shared" si="16"/>
        <v>983.33333333333326</v>
      </c>
      <c r="J304" s="19">
        <f t="shared" si="17"/>
        <v>836.22047244094483</v>
      </c>
      <c r="K304" s="19">
        <f t="shared" si="18"/>
        <v>536.36363636363637</v>
      </c>
      <c r="L304" s="19">
        <f t="shared" si="19"/>
        <v>383.39350180505414</v>
      </c>
    </row>
    <row r="305" spans="1:12" ht="15" thickBot="1" x14ac:dyDescent="0.35">
      <c r="A305" s="6">
        <v>2518</v>
      </c>
      <c r="B305" s="9" t="s">
        <v>314</v>
      </c>
      <c r="C305" s="8">
        <v>23</v>
      </c>
      <c r="D305" s="8" t="s">
        <v>590</v>
      </c>
      <c r="E305" s="8">
        <v>-5</v>
      </c>
      <c r="F305" s="8">
        <v>8</v>
      </c>
      <c r="G305" s="8" t="s">
        <v>612</v>
      </c>
      <c r="H305" s="20" t="s">
        <v>602</v>
      </c>
      <c r="I305" s="22">
        <f t="shared" si="16"/>
        <v>601.0526315789474</v>
      </c>
      <c r="J305" s="19">
        <f t="shared" si="17"/>
        <v>528.7037037037037</v>
      </c>
      <c r="K305" s="19">
        <f t="shared" si="18"/>
        <v>380.66666666666669</v>
      </c>
      <c r="L305" s="19">
        <f t="shared" si="19"/>
        <v>330.05780346820808</v>
      </c>
    </row>
    <row r="306" spans="1:12" ht="15" thickBot="1" x14ac:dyDescent="0.35">
      <c r="A306" s="13">
        <v>2521</v>
      </c>
      <c r="B306" s="14" t="s">
        <v>315</v>
      </c>
      <c r="C306" s="15">
        <v>37</v>
      </c>
      <c r="D306" s="15" t="s">
        <v>398</v>
      </c>
      <c r="E306" s="15" t="s">
        <v>793</v>
      </c>
      <c r="F306" s="15">
        <v>42</v>
      </c>
      <c r="G306" s="15" t="s">
        <v>652</v>
      </c>
      <c r="H306" s="21" t="s">
        <v>778</v>
      </c>
      <c r="I306" s="22">
        <f t="shared" si="16"/>
        <v>802.97029702970292</v>
      </c>
      <c r="J306" s="19">
        <f t="shared" si="17"/>
        <v>571.12676056338034</v>
      </c>
      <c r="K306" s="19">
        <f t="shared" si="18"/>
        <v>530.06535947712416</v>
      </c>
      <c r="L306" s="19">
        <f t="shared" si="19"/>
        <v>271.23745819397993</v>
      </c>
    </row>
    <row r="307" spans="1:12" ht="15" thickBot="1" x14ac:dyDescent="0.35">
      <c r="A307" s="6">
        <v>2523</v>
      </c>
      <c r="B307" s="9" t="s">
        <v>316</v>
      </c>
      <c r="C307" s="8">
        <v>94</v>
      </c>
      <c r="D307" s="8" t="s">
        <v>591</v>
      </c>
      <c r="E307" s="8" t="s">
        <v>816</v>
      </c>
      <c r="F307" s="8">
        <v>52</v>
      </c>
      <c r="G307" s="8" t="s">
        <v>629</v>
      </c>
      <c r="H307" s="20" t="s">
        <v>779</v>
      </c>
      <c r="I307" s="22">
        <f t="shared" si="16"/>
        <v>1858.4</v>
      </c>
      <c r="J307" s="19">
        <f t="shared" si="17"/>
        <v>1528.2894736842104</v>
      </c>
      <c r="K307" s="19">
        <f t="shared" si="18"/>
        <v>1179.1878172588833</v>
      </c>
      <c r="L307" s="19">
        <f t="shared" si="19"/>
        <v>492.1610169491525</v>
      </c>
    </row>
    <row r="308" spans="1:12" ht="15" thickBot="1" x14ac:dyDescent="0.35">
      <c r="A308" s="13">
        <v>2560</v>
      </c>
      <c r="B308" s="14" t="s">
        <v>317</v>
      </c>
      <c r="C308" s="15">
        <v>88</v>
      </c>
      <c r="D308" s="15" t="s">
        <v>592</v>
      </c>
      <c r="E308" s="15" t="s">
        <v>795</v>
      </c>
      <c r="F308" s="15">
        <v>40</v>
      </c>
      <c r="G308" s="15" t="s">
        <v>600</v>
      </c>
      <c r="H308" s="21" t="s">
        <v>689</v>
      </c>
      <c r="I308" s="22">
        <f t="shared" si="16"/>
        <v>876.85185185185185</v>
      </c>
      <c r="J308" s="19">
        <f t="shared" si="17"/>
        <v>676.42857142857144</v>
      </c>
      <c r="K308" s="19">
        <f t="shared" si="18"/>
        <v>523.20441988950279</v>
      </c>
      <c r="L308" s="19">
        <f t="shared" si="19"/>
        <v>388.11475409836066</v>
      </c>
    </row>
    <row r="309" spans="1:12" ht="15" thickBot="1" x14ac:dyDescent="0.35">
      <c r="A309" s="6">
        <v>2580</v>
      </c>
      <c r="B309" s="9" t="s">
        <v>318</v>
      </c>
      <c r="C309" s="8">
        <v>388</v>
      </c>
      <c r="D309" s="8" t="s">
        <v>593</v>
      </c>
      <c r="E309" s="8" t="s">
        <v>799</v>
      </c>
      <c r="F309" s="8">
        <v>27</v>
      </c>
      <c r="G309" s="8" t="s">
        <v>630</v>
      </c>
      <c r="H309" s="20" t="s">
        <v>754</v>
      </c>
      <c r="I309" s="22">
        <f t="shared" si="16"/>
        <v>3328</v>
      </c>
      <c r="J309" s="19">
        <f t="shared" si="17"/>
        <v>2620.4724409448818</v>
      </c>
      <c r="K309" s="19">
        <f t="shared" si="18"/>
        <v>2161.0389610389611</v>
      </c>
      <c r="L309" s="19">
        <f t="shared" si="19"/>
        <v>1135.8361774744028</v>
      </c>
    </row>
    <row r="310" spans="1:12" ht="15" thickBot="1" x14ac:dyDescent="0.35">
      <c r="A310" s="13">
        <v>2581</v>
      </c>
      <c r="B310" s="14" t="s">
        <v>319</v>
      </c>
      <c r="C310" s="15">
        <v>360</v>
      </c>
      <c r="D310" s="15" t="s">
        <v>594</v>
      </c>
      <c r="E310" s="15" t="s">
        <v>797</v>
      </c>
      <c r="F310" s="15">
        <v>33</v>
      </c>
      <c r="G310" s="15" t="s">
        <v>639</v>
      </c>
      <c r="H310" s="21" t="s">
        <v>703</v>
      </c>
      <c r="I310" s="22">
        <f t="shared" si="16"/>
        <v>1983.9622641509434</v>
      </c>
      <c r="J310" s="19">
        <f t="shared" si="17"/>
        <v>1581.203007518797</v>
      </c>
      <c r="K310" s="19">
        <f t="shared" si="18"/>
        <v>1072.9591836734694</v>
      </c>
      <c r="L310" s="19">
        <f t="shared" si="19"/>
        <v>689.50819672131149</v>
      </c>
    </row>
    <row r="311" spans="1:12" ht="15" thickBot="1" x14ac:dyDescent="0.35">
      <c r="A311" s="6">
        <v>2582</v>
      </c>
      <c r="B311" s="9" t="s">
        <v>320</v>
      </c>
      <c r="C311" s="8">
        <v>146</v>
      </c>
      <c r="D311" s="8" t="s">
        <v>595</v>
      </c>
      <c r="E311" s="8" t="s">
        <v>795</v>
      </c>
      <c r="F311" s="8">
        <v>31</v>
      </c>
      <c r="G311" s="8" t="s">
        <v>656</v>
      </c>
      <c r="H311" s="20" t="s">
        <v>724</v>
      </c>
      <c r="I311" s="22">
        <f t="shared" si="16"/>
        <v>1639.8148148148148</v>
      </c>
      <c r="J311" s="19">
        <f t="shared" si="17"/>
        <v>1351.9083969465648</v>
      </c>
      <c r="K311" s="19">
        <f t="shared" si="18"/>
        <v>889.9497487437186</v>
      </c>
      <c r="L311" s="19">
        <f t="shared" si="19"/>
        <v>535.04531722054378</v>
      </c>
    </row>
    <row r="312" spans="1:12" ht="15" thickBot="1" x14ac:dyDescent="0.35">
      <c r="A312" s="13">
        <v>2583</v>
      </c>
      <c r="B312" s="14" t="s">
        <v>321</v>
      </c>
      <c r="C312" s="15">
        <v>51</v>
      </c>
      <c r="D312" s="15" t="s">
        <v>596</v>
      </c>
      <c r="E312" s="15" t="s">
        <v>651</v>
      </c>
      <c r="F312" s="15">
        <v>20</v>
      </c>
      <c r="G312" s="15" t="s">
        <v>658</v>
      </c>
      <c r="H312" s="21" t="s">
        <v>603</v>
      </c>
      <c r="I312" s="22">
        <f t="shared" si="16"/>
        <v>933.88429752066122</v>
      </c>
      <c r="J312" s="19">
        <f t="shared" si="17"/>
        <v>941.66666666666674</v>
      </c>
      <c r="K312" s="19">
        <f t="shared" si="18"/>
        <v>824.81751824817513</v>
      </c>
      <c r="L312" s="19">
        <f t="shared" si="19"/>
        <v>585.49222797927462</v>
      </c>
    </row>
    <row r="313" spans="1:12" ht="15" thickBot="1" x14ac:dyDescent="0.35">
      <c r="A313" s="10">
        <v>2584</v>
      </c>
      <c r="B313" s="11" t="s">
        <v>322</v>
      </c>
      <c r="C313" s="12">
        <v>55</v>
      </c>
      <c r="D313" s="12" t="s">
        <v>597</v>
      </c>
      <c r="E313" s="12" t="s">
        <v>794</v>
      </c>
      <c r="F313" s="12">
        <v>21</v>
      </c>
      <c r="G313" s="12" t="s">
        <v>621</v>
      </c>
      <c r="H313" s="20" t="s">
        <v>780</v>
      </c>
      <c r="I313" s="22">
        <f t="shared" si="16"/>
        <v>2210.5769230769229</v>
      </c>
      <c r="J313" s="19">
        <f t="shared" si="17"/>
        <v>1900</v>
      </c>
      <c r="K313" s="19">
        <f t="shared" si="18"/>
        <v>1427.9503105590063</v>
      </c>
      <c r="L313" s="19">
        <f t="shared" si="19"/>
        <v>552.64423076923072</v>
      </c>
    </row>
    <row r="314" spans="1:12" x14ac:dyDescent="0.3">
      <c r="E314" t="s">
        <v>324</v>
      </c>
      <c r="I314" s="17" t="str">
        <f t="shared" ref="I314" si="20">SUBSTITUTE(SUBSTITUTE(E314," ",""),CHAR(160),"")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Cima,A</dc:creator>
  <cp:lastModifiedBy>Cima,A</cp:lastModifiedBy>
  <dcterms:created xsi:type="dcterms:W3CDTF">2025-12-10T08:53:49Z</dcterms:created>
  <dcterms:modified xsi:type="dcterms:W3CDTF">2025-12-13T20:29:15Z</dcterms:modified>
</cp:coreProperties>
</file>